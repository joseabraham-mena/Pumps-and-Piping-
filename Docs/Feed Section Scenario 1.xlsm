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osem\OneDrive - Calvin College 1\3 year\ENGR 312-330 Project\Feed Section\"/>
    </mc:Choice>
  </mc:AlternateContent>
  <bookViews>
    <workbookView xWindow="0" yWindow="300" windowWidth="21600" windowHeight="9795" firstSheet="1" activeTab="2" xr2:uid="{00000000-000D-0000-FFFF-FFFF00000000}"/>
  </bookViews>
  <sheets>
    <sheet name="Instructions" sheetId="12" r:id="rId1"/>
    <sheet name="Data" sheetId="5" r:id="rId2"/>
    <sheet name="Segment 1" sheetId="1" r:id="rId3"/>
    <sheet name="Segment 1 Plots and Solutions" sheetId="6" r:id="rId4"/>
    <sheet name="Material and Cost Analysis" sheetId="11" r:id="rId5"/>
    <sheet name="P 401 A-B Sizing" sheetId="13" r:id="rId6"/>
    <sheet name="EAOC" sheetId="14" r:id="rId7"/>
  </sheets>
  <externalReferences>
    <externalReference r:id="rId8"/>
    <externalReference r:id="rId9"/>
  </externalReferences>
  <definedNames>
    <definedName name="Elbow45">Data!$F$4:$F$5</definedName>
    <definedName name="Fitting">Data!$I$4:$I$24</definedName>
    <definedName name="Fittings">Data!$E$4:$E$51</definedName>
    <definedName name="Material">Data!$B$4:$B$18</definedName>
    <definedName name="Segment1" localSheetId="2">OFFSET(Segment '[1]1'!$B$12,0,0,COUNTA([2]Segment1!$B:$B))</definedName>
    <definedName name="solver_adj" localSheetId="1" hidden="1">Data!$Y$18</definedName>
    <definedName name="solver_adj" localSheetId="5" hidden="1">'P 401 A-B Sizing'!$M$17</definedName>
    <definedName name="solver_adj" localSheetId="2" hidden="1">'Segment 1'!$W$14</definedName>
    <definedName name="solver_adj" localSheetId="3" hidden="1">'Segment 1 Plots and Solutions'!$E$35</definedName>
    <definedName name="solver_cvg" localSheetId="5" hidden="1">0.0001</definedName>
    <definedName name="solver_cvg" localSheetId="2" hidden="1">0.0001</definedName>
    <definedName name="solver_cvg" localSheetId="3" hidden="1">0.0001</definedName>
    <definedName name="solver_drv" localSheetId="5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5" hidden="1">1</definedName>
    <definedName name="solver_eng" localSheetId="2" hidden="1">1</definedName>
    <definedName name="solver_eng" localSheetId="3" hidden="1">1</definedName>
    <definedName name="solver_est" localSheetId="5" hidden="1">1</definedName>
    <definedName name="solver_est" localSheetId="2" hidden="1">1</definedName>
    <definedName name="solver_est" localSheetId="3" hidden="1">1</definedName>
    <definedName name="solver_itr" localSheetId="5" hidden="1">2147483647</definedName>
    <definedName name="solver_itr" localSheetId="2" hidden="1">2147483647</definedName>
    <definedName name="solver_itr" localSheetId="3" hidden="1">2147483647</definedName>
    <definedName name="solver_mip" localSheetId="5" hidden="1">2147483647</definedName>
    <definedName name="solver_mip" localSheetId="2" hidden="1">2147483647</definedName>
    <definedName name="solver_mip" localSheetId="3" hidden="1">2147483647</definedName>
    <definedName name="solver_mni" localSheetId="5" hidden="1">30</definedName>
    <definedName name="solver_mni" localSheetId="2" hidden="1">30</definedName>
    <definedName name="solver_mni" localSheetId="3" hidden="1">30</definedName>
    <definedName name="solver_mrt" localSheetId="5" hidden="1">0.075</definedName>
    <definedName name="solver_mrt" localSheetId="2" hidden="1">0.075</definedName>
    <definedName name="solver_mrt" localSheetId="3" hidden="1">0.075</definedName>
    <definedName name="solver_msl" localSheetId="5" hidden="1">2</definedName>
    <definedName name="solver_msl" localSheetId="2" hidden="1">2</definedName>
    <definedName name="solver_msl" localSheetId="3" hidden="1">2</definedName>
    <definedName name="solver_neg" localSheetId="5" hidden="1">1</definedName>
    <definedName name="solver_neg" localSheetId="2" hidden="1">1</definedName>
    <definedName name="solver_neg" localSheetId="3" hidden="1">1</definedName>
    <definedName name="solver_nod" localSheetId="5" hidden="1">2147483647</definedName>
    <definedName name="solver_nod" localSheetId="2" hidden="1">2147483647</definedName>
    <definedName name="solver_nod" localSheetId="3" hidden="1">2147483647</definedName>
    <definedName name="solver_num" localSheetId="5" hidden="1">0</definedName>
    <definedName name="solver_num" localSheetId="2" hidden="1">0</definedName>
    <definedName name="solver_num" localSheetId="3" hidden="1">0</definedName>
    <definedName name="solver_nwt" localSheetId="5" hidden="1">1</definedName>
    <definedName name="solver_nwt" localSheetId="2" hidden="1">1</definedName>
    <definedName name="solver_nwt" localSheetId="3" hidden="1">1</definedName>
    <definedName name="solver_opt" localSheetId="1" hidden="1">Data!$AA$18</definedName>
    <definedName name="solver_opt" localSheetId="5" hidden="1">'P 401 A-B Sizing'!$O$17</definedName>
    <definedName name="solver_opt" localSheetId="2" hidden="1">'Segment 1'!$Y$14</definedName>
    <definedName name="solver_opt" localSheetId="3" hidden="1">'Segment 1 Plots and Solutions'!$E$38</definedName>
    <definedName name="solver_pre" localSheetId="5" hidden="1">0.000001</definedName>
    <definedName name="solver_pre" localSheetId="2" hidden="1">0.000001</definedName>
    <definedName name="solver_pre" localSheetId="3" hidden="1">0.000001</definedName>
    <definedName name="solver_rbv" localSheetId="5" hidden="1">1</definedName>
    <definedName name="solver_rbv" localSheetId="2" hidden="1">1</definedName>
    <definedName name="solver_rbv" localSheetId="3" hidden="1">1</definedName>
    <definedName name="solver_rlx" localSheetId="5" hidden="1">2</definedName>
    <definedName name="solver_rlx" localSheetId="2" hidden="1">2</definedName>
    <definedName name="solver_rlx" localSheetId="3" hidden="1">2</definedName>
    <definedName name="solver_rsd" localSheetId="5" hidden="1">0</definedName>
    <definedName name="solver_rsd" localSheetId="2" hidden="1">0</definedName>
    <definedName name="solver_rsd" localSheetId="3" hidden="1">0</definedName>
    <definedName name="solver_scl" localSheetId="5" hidden="1">1</definedName>
    <definedName name="solver_scl" localSheetId="2" hidden="1">1</definedName>
    <definedName name="solver_scl" localSheetId="3" hidden="1">1</definedName>
    <definedName name="solver_sho" localSheetId="5" hidden="1">2</definedName>
    <definedName name="solver_sho" localSheetId="2" hidden="1">2</definedName>
    <definedName name="solver_sho" localSheetId="3" hidden="1">2</definedName>
    <definedName name="solver_ssz" localSheetId="5" hidden="1">100</definedName>
    <definedName name="solver_ssz" localSheetId="2" hidden="1">100</definedName>
    <definedName name="solver_ssz" localSheetId="3" hidden="1">100</definedName>
    <definedName name="solver_tim" localSheetId="5" hidden="1">2147483647</definedName>
    <definedName name="solver_tim" localSheetId="2" hidden="1">2147483647</definedName>
    <definedName name="solver_tim" localSheetId="3" hidden="1">2147483647</definedName>
    <definedName name="solver_tol" localSheetId="5" hidden="1">0.01</definedName>
    <definedName name="solver_tol" localSheetId="2" hidden="1">0.01</definedName>
    <definedName name="solver_tol" localSheetId="3" hidden="1">0.01</definedName>
    <definedName name="solver_typ" localSheetId="1" hidden="1">3</definedName>
    <definedName name="solver_typ" localSheetId="5" hidden="1">3</definedName>
    <definedName name="solver_typ" localSheetId="2" hidden="1">3</definedName>
    <definedName name="solver_typ" localSheetId="3" hidden="1">3</definedName>
    <definedName name="solver_val" localSheetId="1" hidden="1">0</definedName>
    <definedName name="solver_val" localSheetId="5" hidden="1">0</definedName>
    <definedName name="solver_val" localSheetId="2" hidden="1">0</definedName>
    <definedName name="solver_val" localSheetId="3" hidden="1">0</definedName>
    <definedName name="solver_ver" localSheetId="5" hidden="1">3</definedName>
    <definedName name="solver_ver" localSheetId="2" hidden="1">3</definedName>
    <definedName name="solver_ver" localSheetId="3" hidden="1">3</definedName>
    <definedName name="Type_AngleValve">Data!$F$32</definedName>
    <definedName name="Type_ButterflyValve">Data!$F$39:$F$43</definedName>
    <definedName name="Type_CheckValve">Data!$F$44:$F$46</definedName>
    <definedName name="Type_DiaphragmValve">Data!$F$20:$F$23</definedName>
    <definedName name="Type_Gate">Data!$F$16:$F$19</definedName>
    <definedName name="Type_GloveValve">Data!$F$24:$F$27</definedName>
    <definedName name="Type_PlugCock">Data!$F$34:$F$38</definedName>
    <definedName name="Type_PlugDisk">Data!$F$28:$F$31</definedName>
    <definedName name="Type_Tee">Data!$F$11:$F$12</definedName>
    <definedName name="Type_WaterMeter">Data!$F$48:$F$51</definedName>
    <definedName name="Type_YValve">Data!$F$33</definedName>
    <definedName name="Types_45">Data!$F$4:$F$5</definedName>
    <definedName name="Types_90">Data!$F$6:$F$7</definedName>
  </definedNames>
  <calcPr calcId="171027"/>
</workbook>
</file>

<file path=xl/calcChain.xml><?xml version="1.0" encoding="utf-8"?>
<calcChain xmlns="http://schemas.openxmlformats.org/spreadsheetml/2006/main">
  <c r="D151" i="1" l="1"/>
  <c r="G151" i="1"/>
  <c r="J151" i="1"/>
  <c r="O2" i="1" l="1"/>
  <c r="E29" i="6" l="1"/>
  <c r="E30" i="6"/>
  <c r="E31" i="6"/>
  <c r="E32" i="6"/>
  <c r="E33" i="6"/>
  <c r="E34" i="6"/>
  <c r="E28" i="6"/>
  <c r="D34" i="6"/>
  <c r="D33" i="6"/>
  <c r="D32" i="6"/>
  <c r="D31" i="6"/>
  <c r="D30" i="6"/>
  <c r="D29" i="6"/>
  <c r="D28" i="6"/>
  <c r="C34" i="6"/>
  <c r="C29" i="6"/>
  <c r="C30" i="6"/>
  <c r="C31" i="6"/>
  <c r="C32" i="6"/>
  <c r="C33" i="6"/>
  <c r="C28" i="6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C36" i="6" l="1"/>
  <c r="P2" i="1"/>
  <c r="J22" i="13" l="1"/>
  <c r="J23" i="13"/>
  <c r="J21" i="13"/>
  <c r="I22" i="13"/>
  <c r="I23" i="13"/>
  <c r="I21" i="13"/>
  <c r="K22" i="13"/>
  <c r="K21" i="13"/>
  <c r="N39" i="1"/>
  <c r="N40" i="1"/>
  <c r="N41" i="1"/>
  <c r="M39" i="1"/>
  <c r="M40" i="1"/>
  <c r="M41" i="1"/>
  <c r="M46" i="1"/>
  <c r="M45" i="1"/>
  <c r="T26" i="1"/>
  <c r="T27" i="1"/>
  <c r="T28" i="1"/>
  <c r="S20" i="1"/>
  <c r="M26" i="1"/>
  <c r="L20" i="1"/>
  <c r="L21" i="1"/>
  <c r="L22" i="1"/>
  <c r="E37" i="6"/>
  <c r="O39" i="1" l="1"/>
  <c r="D100" i="1"/>
  <c r="G100" i="1"/>
  <c r="J100" i="1"/>
  <c r="D99" i="1"/>
  <c r="G99" i="1"/>
  <c r="J99" i="1"/>
  <c r="D98" i="1"/>
  <c r="G98" i="1"/>
  <c r="J98" i="1"/>
  <c r="D97" i="1"/>
  <c r="G97" i="1"/>
  <c r="J97" i="1"/>
  <c r="D96" i="1"/>
  <c r="G96" i="1"/>
  <c r="J96" i="1"/>
  <c r="D95" i="1"/>
  <c r="G95" i="1"/>
  <c r="J95" i="1"/>
  <c r="D94" i="1"/>
  <c r="G94" i="1"/>
  <c r="J94" i="1"/>
  <c r="D93" i="1"/>
  <c r="G93" i="1"/>
  <c r="J93" i="1"/>
  <c r="E49" i="11"/>
  <c r="E5" i="11"/>
  <c r="D92" i="1"/>
  <c r="J92" i="1"/>
  <c r="D91" i="1"/>
  <c r="J91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40" i="13" l="1"/>
  <c r="C28" i="14" l="1"/>
  <c r="D28" i="14"/>
  <c r="E28" i="14"/>
  <c r="F28" i="14" s="1"/>
  <c r="G28" i="14" s="1"/>
  <c r="C29" i="14"/>
  <c r="D29" i="14"/>
  <c r="E29" i="14"/>
  <c r="F29" i="14" s="1"/>
  <c r="G29" i="14" s="1"/>
  <c r="C30" i="14"/>
  <c r="D30" i="14"/>
  <c r="E30" i="14"/>
  <c r="F30" i="14" s="1"/>
  <c r="G30" i="14" s="1"/>
  <c r="C31" i="14"/>
  <c r="D31" i="14"/>
  <c r="E31" i="14"/>
  <c r="F31" i="14" s="1"/>
  <c r="G31" i="14" s="1"/>
  <c r="C32" i="14"/>
  <c r="D32" i="14"/>
  <c r="E32" i="14"/>
  <c r="F32" i="14" s="1"/>
  <c r="G32" i="14" s="1"/>
  <c r="C33" i="14"/>
  <c r="D33" i="14"/>
  <c r="E33" i="14"/>
  <c r="F33" i="14" s="1"/>
  <c r="G33" i="14" s="1"/>
  <c r="C34" i="14"/>
  <c r="D34" i="14"/>
  <c r="E34" i="14"/>
  <c r="F34" i="14" s="1"/>
  <c r="G34" i="14" s="1"/>
  <c r="C35" i="14"/>
  <c r="D35" i="14"/>
  <c r="E35" i="14"/>
  <c r="F35" i="14" s="1"/>
  <c r="G35" i="14" s="1"/>
  <c r="C36" i="14"/>
  <c r="D36" i="14"/>
  <c r="E36" i="14"/>
  <c r="F36" i="14" s="1"/>
  <c r="G36" i="14" s="1"/>
  <c r="C37" i="14"/>
  <c r="D37" i="14"/>
  <c r="E37" i="14"/>
  <c r="F37" i="14" s="1"/>
  <c r="G37" i="14" s="1"/>
  <c r="C38" i="14"/>
  <c r="D38" i="14"/>
  <c r="E38" i="14"/>
  <c r="F38" i="14" s="1"/>
  <c r="G38" i="14" s="1"/>
  <c r="C39" i="14"/>
  <c r="D39" i="14"/>
  <c r="E39" i="14"/>
  <c r="F39" i="14" s="1"/>
  <c r="G39" i="14" s="1"/>
  <c r="C40" i="14"/>
  <c r="D40" i="14"/>
  <c r="E40" i="14"/>
  <c r="F40" i="14" s="1"/>
  <c r="G40" i="14" s="1"/>
  <c r="C41" i="14"/>
  <c r="D41" i="14"/>
  <c r="E41" i="14"/>
  <c r="F41" i="14" s="1"/>
  <c r="G41" i="14" s="1"/>
  <c r="C42" i="14"/>
  <c r="D42" i="14"/>
  <c r="E42" i="14"/>
  <c r="F42" i="14" s="1"/>
  <c r="G42" i="14" s="1"/>
  <c r="C43" i="14"/>
  <c r="D43" i="14"/>
  <c r="E43" i="14"/>
  <c r="F43" i="14" s="1"/>
  <c r="G43" i="14" s="1"/>
  <c r="C44" i="14"/>
  <c r="D44" i="14"/>
  <c r="E44" i="14"/>
  <c r="F44" i="14" s="1"/>
  <c r="G44" i="14" s="1"/>
  <c r="C45" i="14"/>
  <c r="D45" i="14"/>
  <c r="E45" i="14"/>
  <c r="F45" i="14" s="1"/>
  <c r="G45" i="14" s="1"/>
  <c r="C46" i="14"/>
  <c r="D46" i="14"/>
  <c r="E46" i="14"/>
  <c r="F46" i="14" s="1"/>
  <c r="G46" i="14" s="1"/>
  <c r="C47" i="14"/>
  <c r="D47" i="14"/>
  <c r="E47" i="14"/>
  <c r="F47" i="14" s="1"/>
  <c r="G47" i="14" s="1"/>
  <c r="C48" i="14"/>
  <c r="D48" i="14"/>
  <c r="E48" i="14"/>
  <c r="F48" i="14" s="1"/>
  <c r="G48" i="14" s="1"/>
  <c r="C49" i="14"/>
  <c r="D49" i="14"/>
  <c r="E49" i="14"/>
  <c r="F49" i="14" s="1"/>
  <c r="G49" i="14" s="1"/>
  <c r="C50" i="14"/>
  <c r="D50" i="14"/>
  <c r="E50" i="14"/>
  <c r="F50" i="14" s="1"/>
  <c r="G50" i="14" s="1"/>
  <c r="C51" i="14"/>
  <c r="D51" i="14"/>
  <c r="E51" i="14"/>
  <c r="F51" i="14" s="1"/>
  <c r="G51" i="14" s="1"/>
  <c r="C52" i="14"/>
  <c r="D52" i="14"/>
  <c r="E52" i="14"/>
  <c r="F52" i="14" s="1"/>
  <c r="G52" i="14" s="1"/>
  <c r="C53" i="14"/>
  <c r="D53" i="14"/>
  <c r="E53" i="14"/>
  <c r="F53" i="14" s="1"/>
  <c r="G53" i="14" s="1"/>
  <c r="C54" i="14"/>
  <c r="D54" i="14"/>
  <c r="E54" i="14"/>
  <c r="F54" i="14" s="1"/>
  <c r="G54" i="14" s="1"/>
  <c r="C55" i="14"/>
  <c r="D55" i="14"/>
  <c r="E55" i="14"/>
  <c r="F55" i="14" s="1"/>
  <c r="G55" i="14" s="1"/>
  <c r="C56" i="14"/>
  <c r="D56" i="14"/>
  <c r="E56" i="14"/>
  <c r="F56" i="14" s="1"/>
  <c r="G56" i="14" s="1"/>
  <c r="D27" i="14"/>
  <c r="E27" i="14"/>
  <c r="F27" i="14" s="1"/>
  <c r="G27" i="14" s="1"/>
  <c r="C27" i="14"/>
  <c r="E26" i="14"/>
  <c r="F26" i="14" s="1"/>
  <c r="G26" i="14" s="1"/>
  <c r="E13" i="14"/>
  <c r="F13" i="14" s="1"/>
  <c r="G13" i="14" s="1"/>
  <c r="E14" i="14"/>
  <c r="F14" i="14" s="1"/>
  <c r="G14" i="14" s="1"/>
  <c r="E15" i="14"/>
  <c r="F15" i="14" s="1"/>
  <c r="G15" i="14" s="1"/>
  <c r="E16" i="14"/>
  <c r="F16" i="14" s="1"/>
  <c r="G16" i="14" s="1"/>
  <c r="E17" i="14"/>
  <c r="F17" i="14" s="1"/>
  <c r="G17" i="14" s="1"/>
  <c r="E18" i="14"/>
  <c r="F18" i="14" s="1"/>
  <c r="G18" i="14" s="1"/>
  <c r="E19" i="14"/>
  <c r="F19" i="14" s="1"/>
  <c r="G19" i="14" s="1"/>
  <c r="E20" i="14"/>
  <c r="F20" i="14" s="1"/>
  <c r="G20" i="14" s="1"/>
  <c r="E21" i="14"/>
  <c r="F21" i="14" s="1"/>
  <c r="G21" i="14" s="1"/>
  <c r="E22" i="14"/>
  <c r="F22" i="14" s="1"/>
  <c r="G22" i="14" s="1"/>
  <c r="E23" i="14"/>
  <c r="F23" i="14" s="1"/>
  <c r="G23" i="14" s="1"/>
  <c r="E24" i="14"/>
  <c r="F24" i="14" s="1"/>
  <c r="G24" i="14" s="1"/>
  <c r="E25" i="14"/>
  <c r="F25" i="14" s="1"/>
  <c r="G25" i="14" s="1"/>
  <c r="E12" i="14"/>
  <c r="F12" i="14" s="1"/>
  <c r="G12" i="14" s="1"/>
  <c r="D3" i="14"/>
  <c r="T7" i="13"/>
  <c r="Q6" i="13"/>
  <c r="D42" i="13" l="1"/>
  <c r="N14" i="1" l="1"/>
  <c r="E3" i="13"/>
  <c r="O14" i="1" l="1"/>
  <c r="Q14" i="1" s="1"/>
  <c r="F15" i="13"/>
  <c r="L21" i="13" a="1"/>
  <c r="L21" i="13" s="1"/>
  <c r="L22" i="13" a="1"/>
  <c r="L22" i="13" s="1"/>
  <c r="L23" i="13" a="1"/>
  <c r="L23" i="13" s="1"/>
  <c r="W20" i="1" a="1"/>
  <c r="W20" i="1" s="1"/>
  <c r="W21" i="1" a="1"/>
  <c r="W21" i="1" s="1"/>
  <c r="W22" i="1" a="1"/>
  <c r="W22" i="1" s="1"/>
  <c r="S21" i="1"/>
  <c r="S22" i="1"/>
  <c r="F16" i="13"/>
  <c r="F17" i="13"/>
  <c r="D41" i="13"/>
  <c r="B52" i="13" s="1"/>
  <c r="M29" i="13"/>
  <c r="F29" i="13"/>
  <c r="M28" i="13"/>
  <c r="F27" i="13"/>
  <c r="G3" i="13"/>
  <c r="AH45" i="5"/>
  <c r="AH46" i="5"/>
  <c r="R14" i="1" l="1"/>
  <c r="Q33" i="1" s="1"/>
  <c r="O33" i="1"/>
  <c r="P33" i="1" s="1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21" i="5"/>
  <c r="S14" i="1" l="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20" i="11"/>
  <c r="M37" i="11" l="1"/>
  <c r="C16" i="13" s="1"/>
  <c r="V14" i="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N37" i="11" l="1"/>
  <c r="O37" i="11" a="1"/>
  <c r="O37" i="11" s="1"/>
  <c r="P37" i="11" s="1"/>
  <c r="R37" i="11" s="1"/>
  <c r="T37" i="11" s="1"/>
  <c r="M38" i="11"/>
  <c r="C17" i="13" s="1"/>
  <c r="M36" i="11"/>
  <c r="C15" i="13" s="1"/>
  <c r="E36" i="6"/>
  <c r="E38" i="6" s="1"/>
  <c r="C37" i="6"/>
  <c r="G6" i="1"/>
  <c r="J6" i="1" s="1"/>
  <c r="F6" i="1"/>
  <c r="I6" i="1" s="1"/>
  <c r="Q37" i="11" l="1" a="1"/>
  <c r="Q37" i="11" s="1"/>
  <c r="B16" i="13"/>
  <c r="D16" i="13" s="1"/>
  <c r="E16" i="13" s="1"/>
  <c r="G16" i="13" s="1"/>
  <c r="D35" i="13" s="1"/>
  <c r="E35" i="13" s="1"/>
  <c r="H35" i="13" s="1"/>
  <c r="A16" i="13"/>
  <c r="N36" i="11"/>
  <c r="O36" i="11" a="1"/>
  <c r="O36" i="11" s="1"/>
  <c r="P36" i="11" s="1"/>
  <c r="O38" i="11" a="1"/>
  <c r="O38" i="11" s="1"/>
  <c r="P38" i="11" s="1"/>
  <c r="R38" i="11" s="1"/>
  <c r="T38" i="11" s="1"/>
  <c r="N38" i="11"/>
  <c r="Q38" i="11" s="1" a="1"/>
  <c r="Q38" i="11" s="1"/>
  <c r="B28" i="13"/>
  <c r="I28" i="13"/>
  <c r="H22" i="13"/>
  <c r="D36" i="6"/>
  <c r="C38" i="6"/>
  <c r="O41" i="1"/>
  <c r="O40" i="1"/>
  <c r="X28" i="1"/>
  <c r="Q28" i="1"/>
  <c r="M28" i="1"/>
  <c r="X27" i="1"/>
  <c r="M27" i="1"/>
  <c r="Q26" i="1"/>
  <c r="P16" i="1"/>
  <c r="N16" i="1"/>
  <c r="P15" i="1"/>
  <c r="N15" i="1"/>
  <c r="P14" i="1"/>
  <c r="F3" i="1"/>
  <c r="R2" i="1"/>
  <c r="C2" i="1"/>
  <c r="C18" i="5"/>
  <c r="T16" i="1" s="1"/>
  <c r="C17" i="5"/>
  <c r="D22" i="13" l="1"/>
  <c r="B22" i="13"/>
  <c r="J28" i="13" s="1"/>
  <c r="E28" i="13"/>
  <c r="F28" i="13" s="1"/>
  <c r="H16" i="13"/>
  <c r="I16" i="13" s="1"/>
  <c r="M22" i="13"/>
  <c r="N22" i="13" s="1"/>
  <c r="C28" i="13"/>
  <c r="B35" i="13" s="1"/>
  <c r="C35" i="13" s="1"/>
  <c r="R36" i="11"/>
  <c r="T36" i="11" s="1"/>
  <c r="T39" i="11" s="1"/>
  <c r="B15" i="13"/>
  <c r="D15" i="13"/>
  <c r="B21" i="13" s="1"/>
  <c r="J27" i="13" s="1"/>
  <c r="Q36" i="11" a="1"/>
  <c r="Q36" i="11" s="1"/>
  <c r="A17" i="13"/>
  <c r="J17" i="13" s="1"/>
  <c r="G16" i="1"/>
  <c r="G24" i="1"/>
  <c r="G32" i="1"/>
  <c r="G40" i="1"/>
  <c r="G48" i="1"/>
  <c r="G56" i="1"/>
  <c r="G64" i="1"/>
  <c r="G72" i="1"/>
  <c r="G88" i="1"/>
  <c r="G33" i="1"/>
  <c r="G73" i="1"/>
  <c r="G51" i="1"/>
  <c r="G83" i="1"/>
  <c r="G12" i="1"/>
  <c r="G60" i="1"/>
  <c r="G13" i="1"/>
  <c r="G37" i="1"/>
  <c r="G69" i="1"/>
  <c r="G17" i="1"/>
  <c r="G41" i="1"/>
  <c r="G49" i="1"/>
  <c r="G57" i="1"/>
  <c r="G81" i="1"/>
  <c r="G19" i="1"/>
  <c r="G59" i="1"/>
  <c r="G20" i="1"/>
  <c r="G52" i="1"/>
  <c r="G84" i="1"/>
  <c r="G29" i="1"/>
  <c r="G61" i="1"/>
  <c r="G85" i="1"/>
  <c r="G10" i="1"/>
  <c r="G18" i="1"/>
  <c r="G26" i="1"/>
  <c r="G34" i="1"/>
  <c r="G42" i="1"/>
  <c r="G50" i="1"/>
  <c r="G58" i="1"/>
  <c r="G66" i="1"/>
  <c r="G74" i="1"/>
  <c r="G82" i="1"/>
  <c r="G90" i="1"/>
  <c r="G11" i="1"/>
  <c r="G35" i="1"/>
  <c r="G67" i="1"/>
  <c r="G36" i="1"/>
  <c r="G68" i="1"/>
  <c r="G14" i="1"/>
  <c r="G22" i="1"/>
  <c r="G30" i="1"/>
  <c r="G38" i="1"/>
  <c r="G46" i="1"/>
  <c r="G54" i="1"/>
  <c r="G62" i="1"/>
  <c r="G70" i="1"/>
  <c r="G78" i="1"/>
  <c r="G86" i="1"/>
  <c r="G91" i="1"/>
  <c r="G15" i="1"/>
  <c r="G23" i="1"/>
  <c r="G31" i="1"/>
  <c r="G39" i="1"/>
  <c r="G47" i="1"/>
  <c r="G55" i="1"/>
  <c r="G63" i="1"/>
  <c r="G71" i="1"/>
  <c r="G79" i="1"/>
  <c r="G87" i="1"/>
  <c r="G80" i="1"/>
  <c r="G25" i="1"/>
  <c r="G65" i="1"/>
  <c r="G89" i="1"/>
  <c r="G27" i="1"/>
  <c r="G43" i="1"/>
  <c r="G75" i="1"/>
  <c r="G92" i="1"/>
  <c r="G28" i="1"/>
  <c r="G44" i="1"/>
  <c r="G76" i="1"/>
  <c r="G21" i="1"/>
  <c r="G45" i="1"/>
  <c r="G53" i="1"/>
  <c r="G77" i="1"/>
  <c r="D37" i="6"/>
  <c r="D38" i="6" s="1"/>
  <c r="T14" i="1"/>
  <c r="U14" i="1" s="1"/>
  <c r="X14" i="1" s="1"/>
  <c r="J16" i="13"/>
  <c r="K16" i="13" s="1"/>
  <c r="T15" i="1"/>
  <c r="U15" i="1" s="1"/>
  <c r="I27" i="13"/>
  <c r="B27" i="13"/>
  <c r="H21" i="13"/>
  <c r="B17" i="13"/>
  <c r="B29" i="13" s="1"/>
  <c r="J15" i="13"/>
  <c r="M22" i="1"/>
  <c r="U28" i="1" s="1"/>
  <c r="O16" i="1"/>
  <c r="Q16" i="1" s="1"/>
  <c r="O35" i="1" s="1"/>
  <c r="P35" i="1" s="1"/>
  <c r="M21" i="1"/>
  <c r="U27" i="1" s="1"/>
  <c r="O15" i="1"/>
  <c r="Q15" i="1" s="1"/>
  <c r="O34" i="1" s="1"/>
  <c r="P34" i="1" s="1"/>
  <c r="U16" i="1"/>
  <c r="N28" i="1"/>
  <c r="M35" i="1" s="1"/>
  <c r="N35" i="1" s="1"/>
  <c r="N27" i="1"/>
  <c r="M34" i="1" s="1"/>
  <c r="N34" i="1" s="1"/>
  <c r="M20" i="1"/>
  <c r="U26" i="1" s="1"/>
  <c r="N26" i="1"/>
  <c r="M33" i="1" s="1"/>
  <c r="N33" i="1" s="1"/>
  <c r="F35" i="13" l="1"/>
  <c r="G35" i="13" s="1"/>
  <c r="E15" i="13"/>
  <c r="G15" i="13" s="1"/>
  <c r="M21" i="13" s="1"/>
  <c r="N21" i="13" s="1"/>
  <c r="C27" i="13"/>
  <c r="B34" i="13" s="1"/>
  <c r="C34" i="13" s="1"/>
  <c r="K15" i="13"/>
  <c r="N16" i="13"/>
  <c r="O16" i="13" s="1"/>
  <c r="L16" i="13"/>
  <c r="I29" i="13"/>
  <c r="H23" i="13"/>
  <c r="D8" i="14"/>
  <c r="D17" i="13"/>
  <c r="E17" i="13" s="1"/>
  <c r="G17" i="13" s="1"/>
  <c r="O22" i="1"/>
  <c r="X22" i="1"/>
  <c r="Y22" i="1" s="1"/>
  <c r="R16" i="1"/>
  <c r="X21" i="1"/>
  <c r="Y21" i="1" s="1"/>
  <c r="O21" i="1"/>
  <c r="P27" i="1"/>
  <c r="Q27" i="1" s="1"/>
  <c r="R15" i="1"/>
  <c r="R33" i="1"/>
  <c r="O20" i="1"/>
  <c r="W26" i="1"/>
  <c r="X26" i="1" s="1"/>
  <c r="X20" i="1"/>
  <c r="Y20" i="1" s="1"/>
  <c r="L27" i="13" l="1"/>
  <c r="M27" i="13" s="1"/>
  <c r="D21" i="13"/>
  <c r="D34" i="13"/>
  <c r="E34" i="13" s="1"/>
  <c r="H34" i="13" s="1"/>
  <c r="H15" i="13"/>
  <c r="F34" i="13" s="1"/>
  <c r="G34" i="13" s="1"/>
  <c r="B23" i="13"/>
  <c r="J29" i="13" s="1"/>
  <c r="C29" i="13"/>
  <c r="B36" i="13" s="1"/>
  <c r="C36" i="13" s="1"/>
  <c r="K17" i="13"/>
  <c r="H17" i="13"/>
  <c r="M23" i="13"/>
  <c r="N23" i="13" s="1"/>
  <c r="D23" i="13"/>
  <c r="D36" i="13"/>
  <c r="E36" i="13" s="1"/>
  <c r="H36" i="13" s="1"/>
  <c r="E22" i="13"/>
  <c r="F22" i="13" s="1"/>
  <c r="B9" i="13" s="1"/>
  <c r="Q35" i="1"/>
  <c r="R35" i="1" s="1"/>
  <c r="S16" i="1"/>
  <c r="S35" i="1"/>
  <c r="S15" i="1"/>
  <c r="Q34" i="1"/>
  <c r="R34" i="1" s="1"/>
  <c r="S34" i="1"/>
  <c r="S33" i="1"/>
  <c r="Y14" i="1"/>
  <c r="C52" i="13" l="1"/>
  <c r="I15" i="13"/>
  <c r="L15" i="13" s="1"/>
  <c r="R7" i="13"/>
  <c r="I17" i="13"/>
  <c r="N17" i="13" s="1"/>
  <c r="F36" i="13"/>
  <c r="G36" i="13" s="1"/>
  <c r="V16" i="1"/>
  <c r="X16" i="1"/>
  <c r="Y16" i="1" s="1"/>
  <c r="V15" i="1"/>
  <c r="X15" i="1"/>
  <c r="Y15" i="1" s="1"/>
  <c r="P20" i="1"/>
  <c r="N15" i="13" l="1"/>
  <c r="O15" i="13" s="1"/>
  <c r="Q20" i="1"/>
  <c r="M7" i="1" s="1"/>
  <c r="O17" i="13"/>
  <c r="L17" i="13"/>
  <c r="P21" i="1"/>
  <c r="Q21" i="1" s="1"/>
  <c r="M8" i="1" s="1"/>
  <c r="P22" i="1"/>
  <c r="Q22" i="1" s="1"/>
  <c r="M9" i="1" s="1"/>
  <c r="D4" i="1" s="1"/>
  <c r="E21" i="13" l="1"/>
  <c r="F21" i="13" s="1"/>
  <c r="B8" i="13" s="1"/>
  <c r="R6" i="13" s="1"/>
  <c r="S6" i="13" s="1"/>
  <c r="C46" i="13" s="1"/>
  <c r="N45" i="1" s="1"/>
  <c r="O45" i="1" s="1"/>
  <c r="D2" i="1"/>
  <c r="E2" i="1" s="1"/>
  <c r="G2" i="1" s="1"/>
  <c r="M10" i="1"/>
  <c r="M11" i="1" s="1"/>
  <c r="E23" i="13"/>
  <c r="F23" i="13" s="1"/>
  <c r="B10" i="13" s="1"/>
  <c r="D3" i="1"/>
  <c r="D52" i="13" l="1"/>
  <c r="D46" i="13"/>
  <c r="U6" i="13"/>
  <c r="Q7" i="13"/>
  <c r="S7" i="13" s="1"/>
  <c r="C47" i="13" s="1"/>
  <c r="N46" i="1" s="1"/>
  <c r="O46" i="1" s="1"/>
  <c r="R8" i="13"/>
  <c r="B11" i="13"/>
  <c r="E3" i="1"/>
  <c r="C4" i="1" s="1"/>
  <c r="U7" i="13" l="1"/>
  <c r="D47" i="13"/>
  <c r="B48" i="13"/>
  <c r="M47" i="1" s="1"/>
  <c r="G3" i="1"/>
  <c r="E4" i="1" l="1"/>
  <c r="G4" i="1" s="1"/>
  <c r="Q8" i="13"/>
  <c r="S8" i="13" s="1"/>
  <c r="U8" i="13" l="1"/>
  <c r="C48" i="13"/>
  <c r="N47" i="1" l="1"/>
  <c r="O47" i="1" s="1"/>
  <c r="D48" i="13"/>
  <c r="A52" i="13" l="1"/>
  <c r="E52" i="13" s="1"/>
  <c r="E8" i="14" l="1"/>
  <c r="G52" i="13"/>
  <c r="C8" i="14" s="1"/>
  <c r="F8" i="14" s="1"/>
  <c r="K12" i="14" l="1"/>
  <c r="K13" i="14"/>
  <c r="K14" i="14"/>
  <c r="K15" i="14"/>
  <c r="K26" i="14"/>
  <c r="K16" i="14"/>
  <c r="K17" i="14"/>
  <c r="K18" i="14"/>
  <c r="K19" i="14"/>
  <c r="K25" i="14"/>
  <c r="K20" i="14"/>
  <c r="K21" i="14"/>
  <c r="K22" i="14"/>
  <c r="K23" i="14"/>
  <c r="K24" i="14"/>
  <c r="G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 A. Mena</author>
  </authors>
  <commentList>
    <comment ref="G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Jose A. Mena:</t>
        </r>
        <r>
          <rPr>
            <sz val="9"/>
            <color indexed="81"/>
            <rFont val="Tahoma"/>
            <family val="2"/>
          </rPr>
          <t xml:space="preserve">
Minimize this difference via Solver
</t>
        </r>
      </text>
    </comment>
    <comment ref="C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Jose A. Mena:</t>
        </r>
        <r>
          <rPr>
            <sz val="9"/>
            <color indexed="81"/>
            <rFont val="Tahoma"/>
            <family val="2"/>
          </rPr>
          <t xml:space="preserve">
Diameter can only be greater than 0 but never less than or equal to 0.
</t>
        </r>
      </text>
    </comment>
    <comment ref="Y14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Jose A. Mena:</t>
        </r>
        <r>
          <rPr>
            <sz val="9"/>
            <color indexed="81"/>
            <rFont val="Tahoma"/>
            <family val="2"/>
          </rPr>
          <t xml:space="preserve">
Minimize this via solver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 A. Mena</author>
  </authors>
  <commentList>
    <comment ref="U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Jose A. Mena:</t>
        </r>
        <r>
          <rPr>
            <sz val="9"/>
            <color indexed="81"/>
            <rFont val="Tahoma"/>
            <family val="2"/>
          </rPr>
          <t xml:space="preserve">
Minimize this difference via Solver
</t>
        </r>
      </text>
    </comment>
    <comment ref="O1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Jose A. Mena:</t>
        </r>
        <r>
          <rPr>
            <sz val="9"/>
            <color indexed="81"/>
            <rFont val="Tahoma"/>
            <family val="2"/>
          </rPr>
          <t xml:space="preserve">
Minimize this via solver
</t>
        </r>
      </text>
    </comment>
  </commentList>
</comments>
</file>

<file path=xl/sharedStrings.xml><?xml version="1.0" encoding="utf-8"?>
<sst xmlns="http://schemas.openxmlformats.org/spreadsheetml/2006/main" count="603" uniqueCount="253">
  <si>
    <t>Viscosity (Pa*s)</t>
  </si>
  <si>
    <t>IPA mass %</t>
  </si>
  <si>
    <t>Water mass %</t>
  </si>
  <si>
    <t>FEED</t>
  </si>
  <si>
    <t>Volumetric flow (m3/s)</t>
  </si>
  <si>
    <t>Mass flow (kg/s)</t>
  </si>
  <si>
    <t>P1 (kPa)</t>
  </si>
  <si>
    <t>P2 (kPa)</t>
  </si>
  <si>
    <t>Difference</t>
  </si>
  <si>
    <t>Diameter</t>
  </si>
  <si>
    <t>Diameter (in)</t>
  </si>
  <si>
    <t>Diameter (m)</t>
  </si>
  <si>
    <t>Flow rate (l/s)</t>
  </si>
  <si>
    <t>Area (m2)</t>
  </si>
  <si>
    <t>Velocity (m/s)</t>
  </si>
  <si>
    <t xml:space="preserve">Reynold's </t>
  </si>
  <si>
    <t>ϵ</t>
  </si>
  <si>
    <t>Friction Losses</t>
  </si>
  <si>
    <t>Length (m)</t>
  </si>
  <si>
    <t>Velocity</t>
  </si>
  <si>
    <t xml:space="preserve">f </t>
  </si>
  <si>
    <t>Fittings Pressure Drops</t>
  </si>
  <si>
    <t>Fittings</t>
  </si>
  <si>
    <t># of fittings</t>
  </si>
  <si>
    <t>Kf</t>
  </si>
  <si>
    <t>Pressure Drop due to Contractions</t>
  </si>
  <si>
    <t>Kc</t>
  </si>
  <si>
    <t>Pressure Drop due to Expansions</t>
  </si>
  <si>
    <t>Ke</t>
  </si>
  <si>
    <t>Segment</t>
  </si>
  <si>
    <t>N/A</t>
  </si>
  <si>
    <t>Segment 1</t>
  </si>
  <si>
    <t>Summary</t>
  </si>
  <si>
    <t>ϵ/D</t>
  </si>
  <si>
    <t>Regime</t>
  </si>
  <si>
    <t>flam</t>
  </si>
  <si>
    <t>ftur</t>
  </si>
  <si>
    <t>ftur (guess)</t>
  </si>
  <si>
    <t>delta f</t>
  </si>
  <si>
    <t>Material</t>
  </si>
  <si>
    <t>Copper</t>
  </si>
  <si>
    <t>Lead</t>
  </si>
  <si>
    <t>Brass</t>
  </si>
  <si>
    <t>Aluminum</t>
  </si>
  <si>
    <t>PVC</t>
  </si>
  <si>
    <t>Hf (J/kg)</t>
  </si>
  <si>
    <t>Fitting</t>
  </si>
  <si>
    <t>Types</t>
  </si>
  <si>
    <t>K</t>
  </si>
  <si>
    <t>45° Elbow</t>
  </si>
  <si>
    <t>Standard (R/D = 1)</t>
  </si>
  <si>
    <t>Long Radius (R/D = 1.5)</t>
  </si>
  <si>
    <t>90° Elbow Curved</t>
  </si>
  <si>
    <t>90° Elbow Square or Mitred</t>
  </si>
  <si>
    <t>180° Bend</t>
  </si>
  <si>
    <t>Close Return</t>
  </si>
  <si>
    <t>Tee, Run Through</t>
  </si>
  <si>
    <t>Branch Blanked</t>
  </si>
  <si>
    <t>Tee, as Elbow</t>
  </si>
  <si>
    <t>Entering in run</t>
  </si>
  <si>
    <t>Entering in branch</t>
  </si>
  <si>
    <t>Tee, Branching Flow</t>
  </si>
  <si>
    <t>Coupling</t>
  </si>
  <si>
    <t>Union</t>
  </si>
  <si>
    <t>Gate valve</t>
  </si>
  <si>
    <t>Fully Open</t>
  </si>
  <si>
    <t>3/4 Open</t>
  </si>
  <si>
    <t>1/2 Open</t>
  </si>
  <si>
    <t>1/4 Open</t>
  </si>
  <si>
    <t>Diaphragm valve</t>
  </si>
  <si>
    <t>Globe valve, Bevel Seat</t>
  </si>
  <si>
    <t>Globe Valve, Composition seat</t>
  </si>
  <si>
    <t>Plug disk</t>
  </si>
  <si>
    <t>Angle valve</t>
  </si>
  <si>
    <t>Y valve or blowoff valve</t>
  </si>
  <si>
    <t>Plug cock</t>
  </si>
  <si>
    <t>θ = 5°</t>
  </si>
  <si>
    <t>θ = 10°</t>
  </si>
  <si>
    <t>θ = 20°</t>
  </si>
  <si>
    <t>θ = 40°</t>
  </si>
  <si>
    <t>θ = 60°</t>
  </si>
  <si>
    <t>Butterfly valve</t>
  </si>
  <si>
    <t>Check valve</t>
  </si>
  <si>
    <t>Swing</t>
  </si>
  <si>
    <t>Disk</t>
  </si>
  <si>
    <t>Ball</t>
  </si>
  <si>
    <t>Foot valve</t>
  </si>
  <si>
    <t>Water meter</t>
  </si>
  <si>
    <t>Piston</t>
  </si>
  <si>
    <t>Rotary (star-shaped disk)</t>
  </si>
  <si>
    <t>Turbine-wheel</t>
  </si>
  <si>
    <t>Type</t>
  </si>
  <si>
    <t>Range Address</t>
  </si>
  <si>
    <t>Hc (J/kg)</t>
  </si>
  <si>
    <t>Data!$F$4:$F$5</t>
  </si>
  <si>
    <t>Data!$F$6:$F$7</t>
  </si>
  <si>
    <t>Data!$F$8</t>
  </si>
  <si>
    <t>Data!$F$9</t>
  </si>
  <si>
    <t>Data!$F$10</t>
  </si>
  <si>
    <t>Data!$F$11:$F$12</t>
  </si>
  <si>
    <t>Data!$F$13</t>
  </si>
  <si>
    <t>Data!$F$14</t>
  </si>
  <si>
    <t>Data!$F$15</t>
  </si>
  <si>
    <t>Data!$F$16:$F$19</t>
  </si>
  <si>
    <t>Data!$F$20:$F$23</t>
  </si>
  <si>
    <t>Data!$F$24:$F$25</t>
  </si>
  <si>
    <t>Data!$F$26:$F$27</t>
  </si>
  <si>
    <t>Data!$F$28:$F$31</t>
  </si>
  <si>
    <t>Data!$F$32</t>
  </si>
  <si>
    <t>Data!$F$33</t>
  </si>
  <si>
    <t>Data!$F$34:$F$38</t>
  </si>
  <si>
    <t>Data!$F$39:$F$43</t>
  </si>
  <si>
    <t>Data!$F$44:$F$46</t>
  </si>
  <si>
    <t>Data!$F$47</t>
  </si>
  <si>
    <t>Data!$F$48:$F$51</t>
  </si>
  <si>
    <t>Friction Head Losses</t>
  </si>
  <si>
    <t>∑F (J/kg)</t>
  </si>
  <si>
    <t>TDH (m)</t>
  </si>
  <si>
    <t>Commercial Steel</t>
  </si>
  <si>
    <t>Stainless steel</t>
  </si>
  <si>
    <t>ε  (m)</t>
  </si>
  <si>
    <t>Drawn tubing</t>
  </si>
  <si>
    <t>Wrought iron</t>
  </si>
  <si>
    <t>Asphalted cast iron</t>
  </si>
  <si>
    <t>Galvanized iron</t>
  </si>
  <si>
    <t>Cast iron</t>
  </si>
  <si>
    <t>Wood stove</t>
  </si>
  <si>
    <t>Concrete</t>
  </si>
  <si>
    <t>Riveted Steel</t>
  </si>
  <si>
    <t>http://www.engineeringtoolbox.com/major-loss-ducts-tubes-d_459.html</t>
  </si>
  <si>
    <t xml:space="preserve">Figure 2.10-3 Geankoplis </t>
  </si>
  <si>
    <t>Velocity Change Term</t>
  </si>
  <si>
    <t>Re1</t>
  </si>
  <si>
    <t>Re2</t>
  </si>
  <si>
    <t>Head Change Term</t>
  </si>
  <si>
    <t>Pressure Change Term</t>
  </si>
  <si>
    <t>Hv (J/kg)</t>
  </si>
  <si>
    <t>V2 (m/s)</t>
  </si>
  <si>
    <t>V1 (m/s)</t>
  </si>
  <si>
    <t>D1 (m)</t>
  </si>
  <si>
    <t>D2 (m)</t>
  </si>
  <si>
    <t>Z1 (m)</t>
  </si>
  <si>
    <t>Z2 (m)</t>
  </si>
  <si>
    <t>SUM (J/kg)</t>
  </si>
  <si>
    <t>Hh (J/kg)</t>
  </si>
  <si>
    <t>Hp (J/kg)</t>
  </si>
  <si>
    <t>Pressure In (kPa)</t>
  </si>
  <si>
    <t>Pressure out (kPA)</t>
  </si>
  <si>
    <t>Objective Pressure (kPa)</t>
  </si>
  <si>
    <t>Pressure change in pipe (kPa)</t>
  </si>
  <si>
    <t>SEGMENT 1</t>
  </si>
  <si>
    <t>SEGMENT 2</t>
  </si>
  <si>
    <t>Difference2</t>
  </si>
  <si>
    <t>Difference3</t>
  </si>
  <si>
    <t>Dimensions of Standard Steel Pipes</t>
  </si>
  <si>
    <t xml:space="preserve">Nominal Size </t>
  </si>
  <si>
    <t>Schedule</t>
  </si>
  <si>
    <t>Inside Diameter (in)</t>
  </si>
  <si>
    <t>Column2</t>
  </si>
  <si>
    <t>Step</t>
  </si>
  <si>
    <t>Segment 3</t>
  </si>
  <si>
    <t>Segment 2</t>
  </si>
  <si>
    <t>Diameter 1 (in)</t>
  </si>
  <si>
    <t>Diameter 2 (in)</t>
  </si>
  <si>
    <t>Difference 1</t>
  </si>
  <si>
    <t>Pressure Out 1 (kPa)</t>
  </si>
  <si>
    <t>Minimum diameter (in)</t>
  </si>
  <si>
    <t>Max diameter (in)</t>
  </si>
  <si>
    <t>Polynomial Coeff</t>
  </si>
  <si>
    <t>A</t>
  </si>
  <si>
    <t>B</t>
  </si>
  <si>
    <t>C</t>
  </si>
  <si>
    <t>D</t>
  </si>
  <si>
    <t>E</t>
  </si>
  <si>
    <t>F</t>
  </si>
  <si>
    <t>G</t>
  </si>
  <si>
    <t>Diameter guess (in)</t>
  </si>
  <si>
    <t>Pressure</t>
  </si>
  <si>
    <t>Pressure objective (kPa)</t>
  </si>
  <si>
    <t>Cost/m ($/m)</t>
  </si>
  <si>
    <t>Ideal Diameter</t>
  </si>
  <si>
    <t>Ideal Inside Diameter (in)</t>
  </si>
  <si>
    <t>Nominal Pipe Diameter (in)</t>
  </si>
  <si>
    <t>Dimensions of Standard PVC Pipes</t>
  </si>
  <si>
    <t>Inside Pipe Diameter (in)</t>
  </si>
  <si>
    <t>https://www.petersenproducts.com/category-s/1979.htm</t>
  </si>
  <si>
    <t>http://www.engineeringtoolbox.com/steel-pipes-dimensions-d_43.html</t>
  </si>
  <si>
    <t>http://www.engineeringtoolbox.com/support-space-pvc-pipes-d_790.html</t>
  </si>
  <si>
    <t>Dimensions of Standard Copper Pipes Type K</t>
  </si>
  <si>
    <t>$/meter length</t>
  </si>
  <si>
    <t>Total Cost $</t>
  </si>
  <si>
    <t>Piping Cost</t>
  </si>
  <si>
    <t>Data</t>
  </si>
  <si>
    <t>This sheet contains all data used in spreadsheet</t>
  </si>
  <si>
    <t>Steps</t>
  </si>
  <si>
    <t>In this spreadsheet write down all the liquid (density, viscosity,etc)and loop specs (fittings, height change, etc)</t>
  </si>
  <si>
    <t xml:space="preserve">Once all specs have been written down you can ask the spreadsheet to analyze as many different diameters as you want for each segment </t>
  </si>
  <si>
    <t>The spreadsheet can analyze each segment individually or all at once</t>
  </si>
  <si>
    <t>Segment 1 Plots and Solutions</t>
  </si>
  <si>
    <t>The Segment 1 sheet Pressure vs diameter plots are found here. This spreadsheet returns a linear regression based on the simulations in the Segment 1 sheet and can analyze for the ideal pipe diameter for each segment.</t>
  </si>
  <si>
    <t>Segment 1 Material Analysis</t>
  </si>
  <si>
    <t xml:space="preserve">This spreadsheet calculates the pressure drops for Segment 1 per each material in the data sheet. You can follow the steps in the Segment 1 instructions to setup the spreadsheet and then click the solution you want. </t>
  </si>
  <si>
    <t>Segment 1 Costs</t>
  </si>
  <si>
    <t xml:space="preserve">This spreadsheet analyzes the results from the Material Analysis and returns the closest nominal pipe diameter given the ideal diameter and the cheapest material available. </t>
  </si>
  <si>
    <t xml:space="preserve">It also sizes pump 401 A/B but for this you need to manually introduce the nominal diameters for the pipes in each segment. </t>
  </si>
  <si>
    <t>Total</t>
  </si>
  <si>
    <t>http://www.fordmeterbox.com/products/productview.php?catSec=J&amp;subSec=Miscellaneous%20Fittings&amp;heading=Lead-Pak%20Couplings&amp;table=Lead_Pipe_Dim</t>
  </si>
  <si>
    <t>Extra Strong</t>
  </si>
  <si>
    <t>Double Extra Strong</t>
  </si>
  <si>
    <t>Strong</t>
  </si>
  <si>
    <t>Dimensions of Standard Brass Pipes</t>
  </si>
  <si>
    <t>Dimensions of Lead Pipes</t>
  </si>
  <si>
    <t>http://www.bestmaterials.com/PDF_Files/pipe-sizes-copper.pdf</t>
  </si>
  <si>
    <t>Dimensions of Standard Cast Iron Pipes</t>
  </si>
  <si>
    <t>Service</t>
  </si>
  <si>
    <t>Extra Heavy</t>
  </si>
  <si>
    <t>http://www.engineeringtoolbox.com/cast-iron-soil-pipe-dimensions-d_1751.html</t>
  </si>
  <si>
    <t>Dimensions of Standard Drawn Tube</t>
  </si>
  <si>
    <t>Density (kg/m3)</t>
  </si>
  <si>
    <t>Mechanical Energy Balance</t>
  </si>
  <si>
    <t>Hh</t>
  </si>
  <si>
    <t>Hv</t>
  </si>
  <si>
    <t>Hp</t>
  </si>
  <si>
    <t>Hf</t>
  </si>
  <si>
    <t>Ws (kW)</t>
  </si>
  <si>
    <t>Cost ($)</t>
  </si>
  <si>
    <t>Installation Costs</t>
  </si>
  <si>
    <t>Operating Cost</t>
  </si>
  <si>
    <t>Pump 401 - A/B2</t>
  </si>
  <si>
    <t>CAP</t>
  </si>
  <si>
    <t>Pump efficiency</t>
  </si>
  <si>
    <t>Efficiency</t>
  </si>
  <si>
    <t>EAOC</t>
  </si>
  <si>
    <t>Return</t>
  </si>
  <si>
    <t>Piping Cost ($)</t>
  </si>
  <si>
    <t>Pump 401 - A/B Cost ($)</t>
  </si>
  <si>
    <t>Pipe $/m</t>
  </si>
  <si>
    <t>Piping cost ($)</t>
  </si>
  <si>
    <t>Ideal Diameter (In)</t>
  </si>
  <si>
    <t>Pump Cost ($)</t>
  </si>
  <si>
    <t>Sum (J/kg)</t>
  </si>
  <si>
    <t>Pump Curves</t>
  </si>
  <si>
    <t>P 401 A/B</t>
  </si>
  <si>
    <t>Flowrate (l/s)</t>
  </si>
  <si>
    <t>TDH</t>
  </si>
  <si>
    <t>P 402 A/B</t>
  </si>
  <si>
    <t>Pressure Out 2 (kPa)</t>
  </si>
  <si>
    <t>Pressure Out 3 (kPa)</t>
  </si>
  <si>
    <t>Diameter 3 (in)</t>
  </si>
  <si>
    <t>Flow Name</t>
  </si>
  <si>
    <t>Feed</t>
  </si>
  <si>
    <t>Ideal Diameter (in)</t>
  </si>
  <si>
    <t>Closest Nominal Diameter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</si>
</sst>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_);\(&quot;$&quot;#,##0.00\)"/>
    <numFmt numFmtId="44" formatCode="_(&quot;$&quot;* #,##0.00_);_(&quot;$&quot;* \(#,##0.00\);_(&quot;$&quot;* &quot;-&quot;??_);_(@_)"/>
    <numFmt numFmtId="164" formatCode="0.0000"/>
    <numFmt numFmtId="165" formatCode="0.000E+00"/>
    <numFmt numFmtId="166" formatCode="0.000"/>
    <numFmt numFmtId="167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44" fontId="12" fillId="0" borderId="0" applyFont="0" applyFill="0" applyBorder="0" applyAlignment="0" applyProtection="0"/>
  </cellStyleXfs>
  <cellXfs count="318">
    <xf numFmtId="0" fontId="0" fillId="0" borderId="0" xfId="0"/>
    <xf numFmtId="164" fontId="0" fillId="0" borderId="3" xfId="0" applyNumberFormat="1" applyBorder="1"/>
    <xf numFmtId="0" fontId="0" fillId="0" borderId="0" xfId="0" applyAlignment="1"/>
    <xf numFmtId="0" fontId="0" fillId="0" borderId="3" xfId="0" applyBorder="1"/>
    <xf numFmtId="0" fontId="0" fillId="0" borderId="1" xfId="0" applyBorder="1"/>
    <xf numFmtId="0" fontId="0" fillId="0" borderId="8" xfId="0" applyBorder="1"/>
    <xf numFmtId="0" fontId="0" fillId="0" borderId="7" xfId="0" applyBorder="1"/>
    <xf numFmtId="11" fontId="0" fillId="0" borderId="3" xfId="0" applyNumberFormat="1" applyBorder="1"/>
    <xf numFmtId="0" fontId="0" fillId="0" borderId="2" xfId="0" applyBorder="1"/>
    <xf numFmtId="0" fontId="2" fillId="2" borderId="3" xfId="0" applyFont="1" applyFill="1" applyBorder="1"/>
    <xf numFmtId="0" fontId="0" fillId="3" borderId="3" xfId="0" applyFont="1" applyFill="1" applyBorder="1"/>
    <xf numFmtId="11" fontId="0" fillId="3" borderId="3" xfId="0" applyNumberFormat="1" applyFont="1" applyFill="1" applyBorder="1"/>
    <xf numFmtId="0" fontId="0" fillId="0" borderId="3" xfId="0" applyFont="1" applyBorder="1"/>
    <xf numFmtId="11" fontId="0" fillId="0" borderId="3" xfId="0" applyNumberFormat="1" applyFont="1" applyBorder="1"/>
    <xf numFmtId="0" fontId="0" fillId="0" borderId="0" xfId="0" applyBorder="1"/>
    <xf numFmtId="0" fontId="0" fillId="0" borderId="3" xfId="0" applyNumberFormat="1" applyBorder="1"/>
    <xf numFmtId="11" fontId="0" fillId="0" borderId="0" xfId="0" applyNumberFormat="1" applyBorder="1"/>
    <xf numFmtId="11" fontId="0" fillId="4" borderId="3" xfId="0" applyNumberFormat="1" applyFill="1" applyBorder="1"/>
    <xf numFmtId="11" fontId="0" fillId="0" borderId="3" xfId="0" applyNumberFormat="1" applyFill="1" applyBorder="1"/>
    <xf numFmtId="0" fontId="6" fillId="0" borderId="3" xfId="0" applyFont="1" applyBorder="1"/>
    <xf numFmtId="0" fontId="7" fillId="0" borderId="4" xfId="0" applyFont="1" applyBorder="1"/>
    <xf numFmtId="0" fontId="7" fillId="0" borderId="6" xfId="0" applyFont="1" applyBorder="1"/>
    <xf numFmtId="0" fontId="7" fillId="0" borderId="3" xfId="0" applyFont="1" applyBorder="1"/>
    <xf numFmtId="0" fontId="0" fillId="3" borderId="9" xfId="0" applyFont="1" applyFill="1" applyBorder="1"/>
    <xf numFmtId="0" fontId="0" fillId="0" borderId="14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165" fontId="0" fillId="0" borderId="3" xfId="0" applyNumberFormat="1" applyFill="1" applyBorder="1"/>
    <xf numFmtId="0" fontId="6" fillId="0" borderId="5" xfId="0" applyFont="1" applyBorder="1"/>
    <xf numFmtId="0" fontId="7" fillId="5" borderId="2" xfId="0" applyFont="1" applyFill="1" applyBorder="1"/>
    <xf numFmtId="0" fontId="7" fillId="5" borderId="1" xfId="0" applyFont="1" applyFill="1" applyBorder="1"/>
    <xf numFmtId="0" fontId="0" fillId="5" borderId="7" xfId="0" applyFill="1" applyBorder="1"/>
    <xf numFmtId="0" fontId="0" fillId="5" borderId="9" xfId="0" applyFill="1" applyBorder="1"/>
    <xf numFmtId="0" fontId="6" fillId="0" borderId="15" xfId="0" applyFont="1" applyBorder="1"/>
    <xf numFmtId="0" fontId="0" fillId="0" borderId="17" xfId="0" applyBorder="1"/>
    <xf numFmtId="0" fontId="0" fillId="0" borderId="26" xfId="0" applyBorder="1"/>
    <xf numFmtId="11" fontId="0" fillId="0" borderId="19" xfId="0" applyNumberFormat="1" applyBorder="1"/>
    <xf numFmtId="0" fontId="0" fillId="0" borderId="0" xfId="0" applyBorder="1" applyAlignment="1"/>
    <xf numFmtId="164" fontId="0" fillId="0" borderId="9" xfId="0" applyNumberFormat="1" applyBorder="1"/>
    <xf numFmtId="166" fontId="0" fillId="0" borderId="3" xfId="0" applyNumberFormat="1" applyBorder="1"/>
    <xf numFmtId="0" fontId="0" fillId="0" borderId="28" xfId="0" applyBorder="1"/>
    <xf numFmtId="0" fontId="6" fillId="0" borderId="1" xfId="0" applyFont="1" applyBorder="1" applyAlignment="1"/>
    <xf numFmtId="0" fontId="6" fillId="0" borderId="10" xfId="0" applyFont="1" applyBorder="1" applyAlignment="1"/>
    <xf numFmtId="0" fontId="6" fillId="0" borderId="2" xfId="0" applyFont="1" applyBorder="1" applyAlignment="1"/>
    <xf numFmtId="164" fontId="0" fillId="3" borderId="3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3" xfId="0" applyNumberFormat="1" applyFont="1" applyBorder="1" applyAlignment="1">
      <alignment horizontal="center" vertical="center"/>
    </xf>
    <xf numFmtId="0" fontId="0" fillId="5" borderId="3" xfId="0" applyFill="1" applyBorder="1"/>
    <xf numFmtId="0" fontId="0" fillId="4" borderId="3" xfId="0" applyFill="1" applyBorder="1"/>
    <xf numFmtId="2" fontId="0" fillId="5" borderId="3" xfId="0" applyNumberFormat="1" applyFill="1" applyBorder="1"/>
    <xf numFmtId="0" fontId="0" fillId="0" borderId="27" xfId="0" applyBorder="1"/>
    <xf numFmtId="44" fontId="0" fillId="0" borderId="29" xfId="2" applyFont="1" applyBorder="1"/>
    <xf numFmtId="44" fontId="0" fillId="0" borderId="17" xfId="2" applyFont="1" applyBorder="1"/>
    <xf numFmtId="44" fontId="0" fillId="0" borderId="26" xfId="2" applyFont="1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6" xfId="0" applyBorder="1"/>
    <xf numFmtId="0" fontId="1" fillId="0" borderId="2" xfId="0" applyFont="1" applyBorder="1"/>
    <xf numFmtId="0" fontId="7" fillId="0" borderId="2" xfId="0" applyFont="1" applyBorder="1"/>
    <xf numFmtId="0" fontId="6" fillId="0" borderId="4" xfId="0" applyFont="1" applyBorder="1"/>
    <xf numFmtId="0" fontId="0" fillId="0" borderId="30" xfId="0" applyBorder="1"/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 applyAlignment="1"/>
    <xf numFmtId="0" fontId="1" fillId="5" borderId="27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0" fillId="0" borderId="42" xfId="0" applyBorder="1"/>
    <xf numFmtId="0" fontId="0" fillId="0" borderId="42" xfId="0" applyNumberFormat="1" applyBorder="1"/>
    <xf numFmtId="164" fontId="0" fillId="0" borderId="42" xfId="0" applyNumberFormat="1" applyBorder="1"/>
    <xf numFmtId="164" fontId="0" fillId="0" borderId="35" xfId="0" applyNumberFormat="1" applyBorder="1"/>
    <xf numFmtId="0" fontId="0" fillId="0" borderId="36" xfId="0" applyNumberFormat="1" applyBorder="1"/>
    <xf numFmtId="0" fontId="11" fillId="2" borderId="27" xfId="0" applyFont="1" applyFill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0" fontId="11" fillId="2" borderId="43" xfId="0" applyFont="1" applyFill="1" applyBorder="1" applyAlignment="1">
      <alignment horizontal="center" vertical="center"/>
    </xf>
    <xf numFmtId="0" fontId="11" fillId="2" borderId="29" xfId="0" applyFont="1" applyFill="1" applyBorder="1" applyAlignment="1">
      <alignment horizontal="center" vertical="center"/>
    </xf>
    <xf numFmtId="0" fontId="0" fillId="3" borderId="1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164" fontId="0" fillId="3" borderId="19" xfId="0" applyNumberFormat="1" applyFont="1" applyFill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" xfId="0" applyBorder="1" applyAlignment="1"/>
    <xf numFmtId="12" fontId="0" fillId="0" borderId="27" xfId="0" applyNumberFormat="1" applyBorder="1" applyAlignment="1">
      <alignment horizontal="center" vertical="center"/>
    </xf>
    <xf numFmtId="12" fontId="0" fillId="0" borderId="16" xfId="0" applyNumberFormat="1" applyBorder="1" applyAlignment="1">
      <alignment horizontal="center" vertical="center"/>
    </xf>
    <xf numFmtId="12" fontId="0" fillId="0" borderId="1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2" fontId="0" fillId="0" borderId="45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44" fontId="0" fillId="0" borderId="11" xfId="0" applyNumberForma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2" fontId="0" fillId="3" borderId="27" xfId="0" applyNumberFormat="1" applyFont="1" applyFill="1" applyBorder="1" applyAlignment="1">
      <alignment horizontal="center" vertical="center"/>
    </xf>
    <xf numFmtId="0" fontId="0" fillId="3" borderId="28" xfId="0" applyFont="1" applyFill="1" applyBorder="1" applyAlignment="1">
      <alignment horizontal="center" vertical="center"/>
    </xf>
    <xf numFmtId="0" fontId="0" fillId="3" borderId="29" xfId="0" applyFont="1" applyFill="1" applyBorder="1" applyAlignment="1">
      <alignment horizontal="center" vertical="center"/>
    </xf>
    <xf numFmtId="12" fontId="0" fillId="0" borderId="16" xfId="0" applyNumberFormat="1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2" fontId="0" fillId="3" borderId="16" xfId="0" applyNumberFormat="1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17" xfId="0" applyFont="1" applyFill="1" applyBorder="1" applyAlignment="1">
      <alignment horizontal="center" vertical="center"/>
    </xf>
    <xf numFmtId="12" fontId="0" fillId="0" borderId="18" xfId="0" applyNumberFormat="1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12" fontId="0" fillId="3" borderId="46" xfId="0" applyNumberFormat="1" applyFont="1" applyFill="1" applyBorder="1" applyAlignment="1">
      <alignment horizontal="center" vertical="center"/>
    </xf>
    <xf numFmtId="0" fontId="0" fillId="3" borderId="47" xfId="0" applyFont="1" applyFill="1" applyBorder="1" applyAlignment="1">
      <alignment horizontal="center" vertical="center"/>
    </xf>
    <xf numFmtId="0" fontId="0" fillId="3" borderId="25" xfId="0" applyFont="1" applyFill="1" applyBorder="1" applyAlignment="1">
      <alignment horizontal="center" vertical="center"/>
    </xf>
    <xf numFmtId="12" fontId="0" fillId="0" borderId="3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40" xfId="0" applyFont="1" applyBorder="1" applyAlignment="1">
      <alignment horizontal="center" vertical="center"/>
    </xf>
    <xf numFmtId="12" fontId="0" fillId="3" borderId="39" xfId="0" applyNumberFormat="1" applyFont="1" applyFill="1" applyBorder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  <xf numFmtId="0" fontId="0" fillId="3" borderId="40" xfId="0" applyFont="1" applyFill="1" applyBorder="1" applyAlignment="1">
      <alignment horizontal="center" vertical="center"/>
    </xf>
    <xf numFmtId="12" fontId="0" fillId="0" borderId="16" xfId="0" applyNumberFormat="1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12" fontId="0" fillId="0" borderId="18" xfId="0" applyNumberFormat="1" applyFont="1" applyFill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0" fillId="3" borderId="8" xfId="0" applyFont="1" applyFill="1" applyBorder="1" applyAlignment="1">
      <alignment horizontal="center" vertical="center"/>
    </xf>
    <xf numFmtId="0" fontId="2" fillId="2" borderId="49" xfId="0" applyFont="1" applyFill="1" applyBorder="1"/>
    <xf numFmtId="0" fontId="2" fillId="2" borderId="0" xfId="0" applyFont="1" applyFill="1" applyBorder="1"/>
    <xf numFmtId="0" fontId="2" fillId="2" borderId="50" xfId="0" applyFont="1" applyFill="1" applyBorder="1"/>
    <xf numFmtId="12" fontId="0" fillId="0" borderId="45" xfId="0" applyNumberFormat="1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164" fontId="0" fillId="0" borderId="1" xfId="0" applyNumberFormat="1" applyBorder="1"/>
    <xf numFmtId="164" fontId="7" fillId="5" borderId="1" xfId="0" applyNumberFormat="1" applyFont="1" applyFill="1" applyBorder="1"/>
    <xf numFmtId="164" fontId="0" fillId="5" borderId="9" xfId="0" applyNumberFormat="1" applyFill="1" applyBorder="1"/>
    <xf numFmtId="0" fontId="7" fillId="0" borderId="53" xfId="0" applyFont="1" applyBorder="1"/>
    <xf numFmtId="0" fontId="7" fillId="5" borderId="16" xfId="0" applyFont="1" applyFill="1" applyBorder="1"/>
    <xf numFmtId="0" fontId="0" fillId="5" borderId="45" xfId="0" applyFill="1" applyBorder="1"/>
    <xf numFmtId="0" fontId="0" fillId="0" borderId="45" xfId="0" applyBorder="1"/>
    <xf numFmtId="0" fontId="7" fillId="0" borderId="16" xfId="0" applyFont="1" applyBorder="1"/>
    <xf numFmtId="0" fontId="7" fillId="0" borderId="17" xfId="0" applyFont="1" applyBorder="1"/>
    <xf numFmtId="164" fontId="0" fillId="0" borderId="17" xfId="0" applyNumberFormat="1" applyBorder="1"/>
    <xf numFmtId="0" fontId="0" fillId="0" borderId="48" xfId="0" applyBorder="1"/>
    <xf numFmtId="0" fontId="0" fillId="0" borderId="51" xfId="0" applyBorder="1"/>
    <xf numFmtId="0" fontId="0" fillId="0" borderId="20" xfId="0" applyBorder="1" applyAlignment="1"/>
    <xf numFmtId="0" fontId="9" fillId="0" borderId="0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6" fillId="0" borderId="53" xfId="0" applyFont="1" applyBorder="1"/>
    <xf numFmtId="44" fontId="0" fillId="0" borderId="9" xfId="2" applyFont="1" applyBorder="1"/>
    <xf numFmtId="0" fontId="0" fillId="0" borderId="35" xfId="0" applyBorder="1"/>
    <xf numFmtId="0" fontId="0" fillId="3" borderId="2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3" borderId="30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166" fontId="0" fillId="3" borderId="3" xfId="0" applyNumberFormat="1" applyFont="1" applyFill="1" applyBorder="1" applyAlignment="1">
      <alignment horizontal="center" vertical="center"/>
    </xf>
    <xf numFmtId="166" fontId="0" fillId="0" borderId="3" xfId="0" applyNumberFormat="1" applyFont="1" applyBorder="1" applyAlignment="1">
      <alignment horizontal="center" vertical="center"/>
    </xf>
    <xf numFmtId="166" fontId="0" fillId="3" borderId="19" xfId="0" applyNumberFormat="1" applyFont="1" applyFill="1" applyBorder="1" applyAlignment="1">
      <alignment horizontal="center" vertical="center"/>
    </xf>
    <xf numFmtId="164" fontId="0" fillId="3" borderId="2" xfId="0" applyNumberFormat="1" applyFont="1" applyFill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164" fontId="0" fillId="3" borderId="30" xfId="0" applyNumberFormat="1" applyFont="1" applyFill="1" applyBorder="1" applyAlignment="1">
      <alignment horizontal="center" vertical="center"/>
    </xf>
    <xf numFmtId="166" fontId="0" fillId="3" borderId="1" xfId="0" applyNumberFormat="1" applyFont="1" applyFill="1" applyBorder="1" applyAlignment="1">
      <alignment horizontal="center" vertical="center"/>
    </xf>
    <xf numFmtId="166" fontId="0" fillId="0" borderId="1" xfId="0" applyNumberFormat="1" applyFont="1" applyBorder="1" applyAlignment="1">
      <alignment horizontal="center" vertical="center"/>
    </xf>
    <xf numFmtId="166" fontId="0" fillId="3" borderId="34" xfId="0" applyNumberFormat="1" applyFont="1" applyFill="1" applyBorder="1" applyAlignment="1">
      <alignment horizontal="center" vertical="center"/>
    </xf>
    <xf numFmtId="166" fontId="0" fillId="3" borderId="54" xfId="0" applyNumberFormat="1" applyFont="1" applyFill="1" applyBorder="1" applyAlignment="1">
      <alignment horizontal="center" vertical="center"/>
    </xf>
    <xf numFmtId="2" fontId="0" fillId="0" borderId="16" xfId="0" applyNumberFormat="1" applyBorder="1"/>
    <xf numFmtId="0" fontId="6" fillId="0" borderId="6" xfId="0" applyFont="1" applyBorder="1"/>
    <xf numFmtId="164" fontId="0" fillId="0" borderId="45" xfId="0" applyNumberFormat="1" applyBorder="1"/>
    <xf numFmtId="166" fontId="0" fillId="0" borderId="7" xfId="0" applyNumberFormat="1" applyBorder="1"/>
    <xf numFmtId="166" fontId="0" fillId="0" borderId="8" xfId="0" applyNumberFormat="1" applyBorder="1"/>
    <xf numFmtId="166" fontId="0" fillId="0" borderId="40" xfId="0" applyNumberFormat="1" applyBorder="1"/>
    <xf numFmtId="0" fontId="0" fillId="0" borderId="0" xfId="0" applyNumberFormat="1"/>
    <xf numFmtId="2" fontId="0" fillId="0" borderId="48" xfId="0" applyNumberFormat="1" applyBorder="1"/>
    <xf numFmtId="0" fontId="0" fillId="0" borderId="0" xfId="0" applyNumberFormat="1" applyBorder="1"/>
    <xf numFmtId="0" fontId="0" fillId="0" borderId="47" xfId="0" applyFont="1" applyBorder="1" applyAlignment="1">
      <alignment horizontal="center" vertical="center"/>
    </xf>
    <xf numFmtId="2" fontId="0" fillId="0" borderId="47" xfId="0" applyNumberFormat="1" applyFont="1" applyBorder="1" applyAlignment="1">
      <alignment horizontal="center" vertical="center"/>
    </xf>
    <xf numFmtId="2" fontId="0" fillId="3" borderId="9" xfId="0" applyNumberFormat="1" applyFont="1" applyFill="1" applyBorder="1" applyAlignment="1">
      <alignment horizontal="center" vertical="center"/>
    </xf>
    <xf numFmtId="2" fontId="0" fillId="0" borderId="9" xfId="0" applyNumberFormat="1" applyFont="1" applyBorder="1" applyAlignment="1">
      <alignment horizontal="center" vertical="center"/>
    </xf>
    <xf numFmtId="2" fontId="0" fillId="3" borderId="47" xfId="0" applyNumberFormat="1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2" fontId="0" fillId="3" borderId="1" xfId="0" applyNumberFormat="1" applyFont="1" applyFill="1" applyBorder="1" applyAlignment="1">
      <alignment horizontal="center" vertical="center"/>
    </xf>
    <xf numFmtId="7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6" fillId="2" borderId="9" xfId="0" applyFont="1" applyFill="1" applyBorder="1"/>
    <xf numFmtId="0" fontId="13" fillId="2" borderId="9" xfId="0" applyFont="1" applyFill="1" applyBorder="1"/>
    <xf numFmtId="0" fontId="6" fillId="2" borderId="9" xfId="0" applyFont="1" applyFill="1" applyBorder="1" applyAlignment="1">
      <alignment horizontal="center"/>
    </xf>
    <xf numFmtId="164" fontId="0" fillId="3" borderId="9" xfId="0" applyNumberFormat="1" applyFont="1" applyFill="1" applyBorder="1"/>
    <xf numFmtId="0" fontId="0" fillId="3" borderId="9" xfId="0" applyNumberFormat="1" applyFont="1" applyFill="1" applyBorder="1"/>
    <xf numFmtId="11" fontId="0" fillId="3" borderId="9" xfId="0" applyNumberFormat="1" applyFont="1" applyFill="1" applyBorder="1"/>
    <xf numFmtId="11" fontId="0" fillId="4" borderId="9" xfId="0" applyNumberFormat="1" applyFont="1" applyFill="1" applyBorder="1"/>
    <xf numFmtId="165" fontId="0" fillId="3" borderId="9" xfId="0" applyNumberFormat="1" applyFont="1" applyFill="1" applyBorder="1"/>
    <xf numFmtId="165" fontId="0" fillId="4" borderId="9" xfId="0" applyNumberFormat="1" applyFont="1" applyFill="1" applyBorder="1"/>
    <xf numFmtId="164" fontId="0" fillId="0" borderId="9" xfId="0" applyNumberFormat="1" applyFont="1" applyBorder="1"/>
    <xf numFmtId="0" fontId="0" fillId="0" borderId="9" xfId="0" applyNumberFormat="1" applyFont="1" applyBorder="1"/>
    <xf numFmtId="11" fontId="0" fillId="0" borderId="9" xfId="0" applyNumberFormat="1" applyFont="1" applyBorder="1"/>
    <xf numFmtId="165" fontId="0" fillId="0" borderId="9" xfId="0" applyNumberFormat="1" applyFont="1" applyBorder="1"/>
    <xf numFmtId="0" fontId="0" fillId="0" borderId="1" xfId="0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Border="1"/>
    <xf numFmtId="0" fontId="0" fillId="0" borderId="1" xfId="0" applyNumberFormat="1" applyFont="1" applyBorder="1"/>
    <xf numFmtId="11" fontId="0" fillId="0" borderId="1" xfId="0" applyNumberFormat="1" applyFont="1" applyBorder="1"/>
    <xf numFmtId="11" fontId="0" fillId="4" borderId="1" xfId="0" applyNumberFormat="1" applyFont="1" applyFill="1" applyBorder="1"/>
    <xf numFmtId="165" fontId="0" fillId="0" borderId="1" xfId="0" applyNumberFormat="1" applyFont="1" applyBorder="1"/>
    <xf numFmtId="165" fontId="0" fillId="4" borderId="1" xfId="0" applyNumberFormat="1" applyFont="1" applyFill="1" applyBorder="1"/>
    <xf numFmtId="166" fontId="0" fillId="0" borderId="19" xfId="0" applyNumberFormat="1" applyBorder="1"/>
    <xf numFmtId="0" fontId="0" fillId="0" borderId="5" xfId="0" applyBorder="1"/>
    <xf numFmtId="0" fontId="0" fillId="0" borderId="0" xfId="0" applyFill="1" applyBorder="1" applyAlignment="1">
      <alignment horizontal="center" vertical="center"/>
    </xf>
    <xf numFmtId="11" fontId="0" fillId="0" borderId="0" xfId="0" applyNumberFormat="1" applyFill="1" applyBorder="1"/>
    <xf numFmtId="165" fontId="0" fillId="0" borderId="0" xfId="0" applyNumberFormat="1" applyFill="1" applyBorder="1"/>
    <xf numFmtId="0" fontId="8" fillId="0" borderId="3" xfId="0" applyFont="1" applyBorder="1"/>
    <xf numFmtId="0" fontId="7" fillId="0" borderId="3" xfId="0" applyFont="1" applyBorder="1" applyAlignment="1">
      <alignment horizontal="center"/>
    </xf>
    <xf numFmtId="44" fontId="0" fillId="0" borderId="17" xfId="2" applyNumberFormat="1" applyFont="1" applyBorder="1"/>
    <xf numFmtId="0" fontId="2" fillId="2" borderId="9" xfId="0" applyFont="1" applyFill="1" applyBorder="1" applyAlignment="1">
      <alignment horizontal="center" vertical="center"/>
    </xf>
    <xf numFmtId="44" fontId="0" fillId="3" borderId="47" xfId="2" applyNumberFormat="1" applyFont="1" applyFill="1" applyBorder="1" applyAlignment="1">
      <alignment horizontal="center" vertical="center"/>
    </xf>
    <xf numFmtId="44" fontId="0" fillId="0" borderId="9" xfId="2" applyNumberFormat="1" applyFont="1" applyBorder="1" applyAlignment="1">
      <alignment horizontal="center" vertical="center"/>
    </xf>
    <xf numFmtId="44" fontId="0" fillId="3" borderId="9" xfId="2" applyNumberFormat="1" applyFont="1" applyFill="1" applyBorder="1" applyAlignment="1">
      <alignment horizontal="center" vertical="center"/>
    </xf>
    <xf numFmtId="44" fontId="0" fillId="0" borderId="47" xfId="2" applyNumberFormat="1" applyFont="1" applyBorder="1" applyAlignment="1">
      <alignment horizontal="center" vertical="center"/>
    </xf>
    <xf numFmtId="44" fontId="0" fillId="3" borderId="1" xfId="2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7" fontId="0" fillId="0" borderId="8" xfId="0" applyNumberFormat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166" fontId="0" fillId="3" borderId="29" xfId="2" applyNumberFormat="1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66" fontId="0" fillId="3" borderId="26" xfId="2" applyNumberFormat="1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44" fontId="0" fillId="0" borderId="7" xfId="2" applyFont="1" applyBorder="1" applyAlignment="1">
      <alignment horizontal="center" vertical="center"/>
    </xf>
    <xf numFmtId="44" fontId="0" fillId="0" borderId="8" xfId="2" applyFont="1" applyBorder="1" applyAlignment="1">
      <alignment horizontal="center" vertical="center"/>
    </xf>
    <xf numFmtId="44" fontId="0" fillId="0" borderId="9" xfId="2" applyFont="1" applyBorder="1" applyAlignment="1">
      <alignment horizontal="center" vertical="center"/>
    </xf>
    <xf numFmtId="44" fontId="0" fillId="0" borderId="0" xfId="2" applyFont="1" applyAlignment="1">
      <alignment horizontal="center" vertical="center"/>
    </xf>
    <xf numFmtId="167" fontId="0" fillId="5" borderId="3" xfId="0" applyNumberFormat="1" applyFill="1" applyBorder="1" applyAlignment="1">
      <alignment horizontal="center" vertical="center"/>
    </xf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2" fontId="0" fillId="3" borderId="2" xfId="0" applyNumberFormat="1" applyFont="1" applyFill="1" applyBorder="1"/>
    <xf numFmtId="166" fontId="0" fillId="3" borderId="3" xfId="0" applyNumberFormat="1" applyFont="1" applyFill="1" applyBorder="1"/>
    <xf numFmtId="2" fontId="0" fillId="3" borderId="3" xfId="0" applyNumberFormat="1" applyFont="1" applyFill="1" applyBorder="1"/>
    <xf numFmtId="166" fontId="0" fillId="3" borderId="1" xfId="0" applyNumberFormat="1" applyFont="1" applyFill="1" applyBorder="1"/>
    <xf numFmtId="2" fontId="0" fillId="0" borderId="2" xfId="0" applyNumberFormat="1" applyFont="1" applyBorder="1"/>
    <xf numFmtId="166" fontId="0" fillId="0" borderId="3" xfId="0" applyNumberFormat="1" applyFont="1" applyBorder="1"/>
    <xf numFmtId="2" fontId="0" fillId="0" borderId="3" xfId="0" applyNumberFormat="1" applyFont="1" applyBorder="1"/>
    <xf numFmtId="166" fontId="0" fillId="0" borderId="1" xfId="0" applyNumberFormat="1" applyFont="1" applyBorder="1"/>
    <xf numFmtId="0" fontId="0" fillId="3" borderId="2" xfId="0" applyFont="1" applyFill="1" applyBorder="1"/>
    <xf numFmtId="0" fontId="0" fillId="0" borderId="2" xfId="0" applyFont="1" applyBorder="1"/>
    <xf numFmtId="166" fontId="0" fillId="3" borderId="3" xfId="0" applyNumberFormat="1" applyFont="1" applyFill="1" applyBorder="1" applyAlignment="1"/>
    <xf numFmtId="0" fontId="0" fillId="3" borderId="3" xfId="0" applyFont="1" applyFill="1" applyBorder="1" applyAlignment="1"/>
    <xf numFmtId="2" fontId="0" fillId="3" borderId="3" xfId="0" applyNumberFormat="1" applyFont="1" applyFill="1" applyBorder="1" applyAlignment="1"/>
    <xf numFmtId="166" fontId="0" fillId="3" borderId="1" xfId="0" applyNumberFormat="1" applyFont="1" applyFill="1" applyBorder="1" applyAlignment="1"/>
    <xf numFmtId="166" fontId="0" fillId="0" borderId="3" xfId="0" applyNumberFormat="1" applyFont="1" applyBorder="1" applyAlignment="1"/>
    <xf numFmtId="0" fontId="0" fillId="0" borderId="3" xfId="0" applyFont="1" applyBorder="1" applyAlignment="1"/>
    <xf numFmtId="2" fontId="0" fillId="0" borderId="3" xfId="0" applyNumberFormat="1" applyFont="1" applyBorder="1" applyAlignment="1"/>
    <xf numFmtId="166" fontId="0" fillId="0" borderId="1" xfId="0" applyNumberFormat="1" applyFont="1" applyBorder="1" applyAlignment="1"/>
    <xf numFmtId="166" fontId="0" fillId="0" borderId="3" xfId="0" applyNumberFormat="1" applyBorder="1" applyAlignment="1"/>
    <xf numFmtId="2" fontId="0" fillId="0" borderId="3" xfId="0" applyNumberFormat="1" applyBorder="1" applyAlignment="1"/>
    <xf numFmtId="166" fontId="0" fillId="0" borderId="1" xfId="0" applyNumberFormat="1" applyBorder="1" applyAlignment="1"/>
    <xf numFmtId="2" fontId="0" fillId="0" borderId="3" xfId="0" applyNumberFormat="1" applyBorder="1"/>
    <xf numFmtId="166" fontId="0" fillId="0" borderId="1" xfId="0" applyNumberFormat="1" applyBorder="1"/>
    <xf numFmtId="2" fontId="0" fillId="0" borderId="8" xfId="0" applyNumberFormat="1" applyBorder="1"/>
    <xf numFmtId="166" fontId="0" fillId="0" borderId="9" xfId="0" applyNumberFormat="1" applyBorder="1"/>
    <xf numFmtId="0" fontId="2" fillId="2" borderId="8" xfId="0" applyFont="1" applyFill="1" applyBorder="1" applyAlignment="1">
      <alignment horizontal="center"/>
    </xf>
    <xf numFmtId="12" fontId="0" fillId="3" borderId="51" xfId="0" applyNumberFormat="1" applyFont="1" applyFill="1" applyBorder="1" applyAlignment="1">
      <alignment horizontal="center" vertical="center"/>
    </xf>
    <xf numFmtId="12" fontId="0" fillId="3" borderId="20" xfId="0" applyNumberFormat="1" applyFont="1" applyFill="1" applyBorder="1" applyAlignment="1">
      <alignment horizontal="center" vertical="center"/>
    </xf>
    <xf numFmtId="12" fontId="0" fillId="3" borderId="21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4" xfId="0" applyBorder="1" applyAlignment="1">
      <alignment horizontal="center"/>
    </xf>
    <xf numFmtId="0" fontId="10" fillId="0" borderId="11" xfId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5" fillId="0" borderId="52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</cellXfs>
  <cellStyles count="3">
    <cellStyle name="Currency" xfId="2" builtinId="4"/>
    <cellStyle name="Hyperlink" xfId="1" builtinId="8"/>
    <cellStyle name="Normal" xfId="0" builtinId="0"/>
  </cellStyles>
  <dxfs count="276"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numFmt numFmtId="166" formatCode="0.000"/>
    </dxf>
    <dxf>
      <numFmt numFmtId="166" formatCode="0.000"/>
      <border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6" formatCode="0.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0.000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6" formatCode="0.00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166" formatCode="0.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6" formatCode="0.00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medium">
          <color indexed="64"/>
        </left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0" formatCode="General"/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15" formatCode="0.00E+0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15" formatCode="0.00E+0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auto="1"/>
        </horizontal>
      </border>
    </dxf>
    <dxf>
      <numFmt numFmtId="164" formatCode="0.000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0.0000"/>
    </dxf>
    <dxf>
      <numFmt numFmtId="164" formatCode="0.000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15" formatCode="0.00E+00"/>
    </dxf>
    <dxf>
      <border outline="0">
        <left style="thin">
          <color indexed="64"/>
        </left>
      </border>
    </dxf>
    <dxf>
      <numFmt numFmtId="2" formatCode="0.0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2" formatCode="0.00"/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7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166" formatCode="0.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0" formatCode="General"/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15" formatCode="0.00E+0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15" formatCode="0.00E+0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auto="1"/>
        </horizontal>
      </border>
    </dxf>
    <dxf>
      <numFmt numFmtId="164" formatCode="0.0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0.0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5" formatCode="0.00E+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5" formatCode="0.00E+0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5" formatCode="0.00E+00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.000E+0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5" formatCode="0.00E+00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5" formatCode="0.00E+0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5" formatCode="0.00E+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5" formatCode="0.00E+00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5" formatCode="0.00E+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" formatCode="#\ ?/?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theme="4" tint="0.39997558519241921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" formatCode="#\ ?/?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" formatCode="#\ ?/?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" formatCode="#\ ?/?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-5.4136309884341378E-2"/>
                  <c:y val="-0.17235757363260834"/>
                </c:manualLayout>
              </c:layout>
              <c:numFmt formatCode="General" sourceLinked="0"/>
            </c:trendlineLbl>
          </c:trendline>
          <c:xVal>
            <c:numRef>
              <c:f>Data!$B$58:$B$66</c:f>
              <c:numCache>
                <c:formatCode>General</c:formatCode>
                <c:ptCount val="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</c:numCache>
            </c:numRef>
          </c:xVal>
          <c:yVal>
            <c:numRef>
              <c:f>Data!$C$58:$C$66</c:f>
              <c:numCache>
                <c:formatCode>General</c:formatCode>
                <c:ptCount val="9"/>
                <c:pt idx="0">
                  <c:v>225</c:v>
                </c:pt>
                <c:pt idx="1">
                  <c:v>223</c:v>
                </c:pt>
                <c:pt idx="2">
                  <c:v>222</c:v>
                </c:pt>
                <c:pt idx="3">
                  <c:v>216</c:v>
                </c:pt>
                <c:pt idx="4">
                  <c:v>203</c:v>
                </c:pt>
                <c:pt idx="5">
                  <c:v>170</c:v>
                </c:pt>
                <c:pt idx="6">
                  <c:v>130</c:v>
                </c:pt>
                <c:pt idx="7">
                  <c:v>75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8E-4EE6-9008-F31552C1E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69856"/>
        <c:axId val="165000320"/>
      </c:scatterChart>
      <c:valAx>
        <c:axId val="164969856"/>
        <c:scaling>
          <c:orientation val="minMax"/>
          <c:max val="1.4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5000320"/>
        <c:crosses val="autoZero"/>
        <c:crossBetween val="midCat"/>
      </c:valAx>
      <c:valAx>
        <c:axId val="165000320"/>
        <c:scaling>
          <c:orientation val="minMax"/>
          <c:max val="24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969856"/>
        <c:crosses val="autoZero"/>
        <c:crossBetween val="midCat"/>
        <c:majorUnit val="2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-6.0874384921537988E-2"/>
                  <c:y val="-0.12039095967700884"/>
                </c:manualLayout>
              </c:layout>
              <c:numFmt formatCode="General" sourceLinked="0"/>
            </c:trendlineLbl>
          </c:trendline>
          <c:xVal>
            <c:numRef>
              <c:f>Data!$E$58:$E$67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5.55</c:v>
                </c:pt>
                <c:pt idx="7">
                  <c:v>6</c:v>
                </c:pt>
                <c:pt idx="8">
                  <c:v>7</c:v>
                </c:pt>
                <c:pt idx="9">
                  <c:v>7.4</c:v>
                </c:pt>
              </c:numCache>
            </c:numRef>
          </c:xVal>
          <c:yVal>
            <c:numRef>
              <c:f>Data!$F$58:$F$67</c:f>
              <c:numCache>
                <c:formatCode>General</c:formatCode>
                <c:ptCount val="10"/>
                <c:pt idx="0">
                  <c:v>165</c:v>
                </c:pt>
                <c:pt idx="1">
                  <c:v>165</c:v>
                </c:pt>
                <c:pt idx="2">
                  <c:v>165</c:v>
                </c:pt>
                <c:pt idx="3">
                  <c:v>164</c:v>
                </c:pt>
                <c:pt idx="4">
                  <c:v>160</c:v>
                </c:pt>
                <c:pt idx="5">
                  <c:v>150</c:v>
                </c:pt>
                <c:pt idx="6">
                  <c:v>140</c:v>
                </c:pt>
                <c:pt idx="7">
                  <c:v>123</c:v>
                </c:pt>
                <c:pt idx="8">
                  <c:v>50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46-4E18-8C23-61ED7994B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84352"/>
        <c:axId val="165685888"/>
      </c:scatterChart>
      <c:valAx>
        <c:axId val="16568435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5685888"/>
        <c:crosses val="autoZero"/>
        <c:crossBetween val="midCat"/>
      </c:valAx>
      <c:valAx>
        <c:axId val="16568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8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Segment 1 Pressure Out</c:v>
          </c:tx>
          <c:spPr>
            <a:ln w="19050">
              <a:noFill/>
            </a:ln>
          </c:spPr>
          <c:trendline>
            <c:trendlineType val="poly"/>
            <c:order val="6"/>
            <c:dispRSqr val="0"/>
            <c:dispEq val="0"/>
          </c:trendline>
          <c:trendline>
            <c:trendlineType val="poly"/>
            <c:order val="6"/>
            <c:dispRSqr val="1"/>
            <c:dispEq val="0"/>
            <c:trendlineLbl>
              <c:layout>
                <c:manualLayout>
                  <c:x val="-1.4611330190577728E-2"/>
                  <c:y val="-0.12908893059992071"/>
                </c:manualLayout>
              </c:layout>
              <c:numFmt formatCode="General" sourceLinked="0"/>
            </c:trendlineLbl>
          </c:trendline>
          <c:xVal>
            <c:numRef>
              <c:f>'Segment 1'!$B$10:$B$91</c:f>
              <c:numCache>
                <c:formatCode>0.00</c:formatCode>
                <c:ptCount val="82"/>
                <c:pt idx="0">
                  <c:v>1.2</c:v>
                </c:pt>
                <c:pt idx="1">
                  <c:v>1.25</c:v>
                </c:pt>
                <c:pt idx="2">
                  <c:v>1.3</c:v>
                </c:pt>
                <c:pt idx="3">
                  <c:v>1.35</c:v>
                </c:pt>
                <c:pt idx="4">
                  <c:v>1.4000000000000001</c:v>
                </c:pt>
                <c:pt idx="5">
                  <c:v>1.4500000000000002</c:v>
                </c:pt>
                <c:pt idx="6">
                  <c:v>1.5000000000000002</c:v>
                </c:pt>
                <c:pt idx="7">
                  <c:v>1.5500000000000003</c:v>
                </c:pt>
                <c:pt idx="8">
                  <c:v>1.6000000000000003</c:v>
                </c:pt>
                <c:pt idx="9">
                  <c:v>1.6500000000000004</c:v>
                </c:pt>
                <c:pt idx="10">
                  <c:v>1.7000000000000004</c:v>
                </c:pt>
                <c:pt idx="11">
                  <c:v>1.7500000000000004</c:v>
                </c:pt>
                <c:pt idx="12">
                  <c:v>1.8000000000000005</c:v>
                </c:pt>
                <c:pt idx="13">
                  <c:v>1.8500000000000005</c:v>
                </c:pt>
                <c:pt idx="14">
                  <c:v>1.9000000000000006</c:v>
                </c:pt>
                <c:pt idx="15">
                  <c:v>1.9500000000000006</c:v>
                </c:pt>
                <c:pt idx="16">
                  <c:v>2.0000000000000004</c:v>
                </c:pt>
                <c:pt idx="17">
                  <c:v>2.0500000000000003</c:v>
                </c:pt>
                <c:pt idx="18">
                  <c:v>2.1</c:v>
                </c:pt>
                <c:pt idx="19">
                  <c:v>2.15</c:v>
                </c:pt>
                <c:pt idx="20" formatCode="General">
                  <c:v>2.1999999999999997</c:v>
                </c:pt>
                <c:pt idx="21" formatCode="General">
                  <c:v>2.2499999999999996</c:v>
                </c:pt>
                <c:pt idx="22" formatCode="General">
                  <c:v>2.2999999999999994</c:v>
                </c:pt>
                <c:pt idx="23" formatCode="General">
                  <c:v>2.3499999999999992</c:v>
                </c:pt>
                <c:pt idx="24" formatCode="General">
                  <c:v>2.399999999999999</c:v>
                </c:pt>
                <c:pt idx="25" formatCode="General">
                  <c:v>2.4499999999999988</c:v>
                </c:pt>
                <c:pt idx="26" formatCode="General">
                  <c:v>2.4999999999999987</c:v>
                </c:pt>
                <c:pt idx="27" formatCode="General">
                  <c:v>2.5499999999999985</c:v>
                </c:pt>
                <c:pt idx="28" formatCode="General">
                  <c:v>2.5999999999999983</c:v>
                </c:pt>
                <c:pt idx="29" formatCode="General">
                  <c:v>2.6499999999999981</c:v>
                </c:pt>
                <c:pt idx="30" formatCode="General">
                  <c:v>2.699999999999998</c:v>
                </c:pt>
                <c:pt idx="31" formatCode="General">
                  <c:v>2.7499999999999978</c:v>
                </c:pt>
                <c:pt idx="32" formatCode="General">
                  <c:v>2.7999999999999976</c:v>
                </c:pt>
                <c:pt idx="33" formatCode="General">
                  <c:v>2.8499999999999974</c:v>
                </c:pt>
                <c:pt idx="34" formatCode="General">
                  <c:v>2.8999999999999972</c:v>
                </c:pt>
                <c:pt idx="35" formatCode="General">
                  <c:v>2.9499999999999971</c:v>
                </c:pt>
                <c:pt idx="36" formatCode="General">
                  <c:v>2.9999999999999969</c:v>
                </c:pt>
                <c:pt idx="37" formatCode="General">
                  <c:v>3.0499999999999967</c:v>
                </c:pt>
                <c:pt idx="38" formatCode="General">
                  <c:v>3.0999999999999965</c:v>
                </c:pt>
                <c:pt idx="39" formatCode="General">
                  <c:v>3.1499999999999964</c:v>
                </c:pt>
                <c:pt idx="40" formatCode="General">
                  <c:v>3.1999999999999962</c:v>
                </c:pt>
                <c:pt idx="41" formatCode="General">
                  <c:v>3.249999999999996</c:v>
                </c:pt>
                <c:pt idx="42" formatCode="General">
                  <c:v>3.2999999999999958</c:v>
                </c:pt>
                <c:pt idx="43" formatCode="General">
                  <c:v>3.3499999999999956</c:v>
                </c:pt>
                <c:pt idx="44" formatCode="General">
                  <c:v>3.3999999999999955</c:v>
                </c:pt>
                <c:pt idx="45" formatCode="General">
                  <c:v>3.4499999999999953</c:v>
                </c:pt>
                <c:pt idx="46" formatCode="General">
                  <c:v>3.4999999999999951</c:v>
                </c:pt>
                <c:pt idx="47" formatCode="General">
                  <c:v>3.5499999999999949</c:v>
                </c:pt>
                <c:pt idx="48" formatCode="General">
                  <c:v>3.5999999999999948</c:v>
                </c:pt>
                <c:pt idx="49" formatCode="General">
                  <c:v>3.6499999999999946</c:v>
                </c:pt>
                <c:pt idx="50" formatCode="General">
                  <c:v>3.6999999999999944</c:v>
                </c:pt>
                <c:pt idx="51" formatCode="General">
                  <c:v>3.7499999999999942</c:v>
                </c:pt>
                <c:pt idx="52" formatCode="General">
                  <c:v>3.799999999999994</c:v>
                </c:pt>
                <c:pt idx="53" formatCode="General">
                  <c:v>3.8499999999999939</c:v>
                </c:pt>
                <c:pt idx="54" formatCode="General">
                  <c:v>3.8999999999999937</c:v>
                </c:pt>
                <c:pt idx="55" formatCode="General">
                  <c:v>3.9499999999999935</c:v>
                </c:pt>
                <c:pt idx="56" formatCode="General">
                  <c:v>3.9999999999999933</c:v>
                </c:pt>
                <c:pt idx="57" formatCode="General">
                  <c:v>4.0499999999999936</c:v>
                </c:pt>
                <c:pt idx="58" formatCode="General">
                  <c:v>4.0999999999999934</c:v>
                </c:pt>
                <c:pt idx="59" formatCode="General">
                  <c:v>4.1499999999999932</c:v>
                </c:pt>
                <c:pt idx="60" formatCode="General">
                  <c:v>4.1999999999999931</c:v>
                </c:pt>
                <c:pt idx="61" formatCode="General">
                  <c:v>4.2499999999999929</c:v>
                </c:pt>
                <c:pt idx="62" formatCode="General">
                  <c:v>4.2999999999999927</c:v>
                </c:pt>
                <c:pt idx="63" formatCode="General">
                  <c:v>4.3499999999999925</c:v>
                </c:pt>
                <c:pt idx="64" formatCode="General">
                  <c:v>4.3999999999999924</c:v>
                </c:pt>
                <c:pt idx="65" formatCode="General">
                  <c:v>4.4499999999999922</c:v>
                </c:pt>
                <c:pt idx="66" formatCode="General">
                  <c:v>4.499999999999992</c:v>
                </c:pt>
                <c:pt idx="67" formatCode="General">
                  <c:v>4.5499999999999918</c:v>
                </c:pt>
                <c:pt idx="68" formatCode="General">
                  <c:v>4.5999999999999917</c:v>
                </c:pt>
                <c:pt idx="69" formatCode="General">
                  <c:v>4.6499999999999915</c:v>
                </c:pt>
                <c:pt idx="70" formatCode="General">
                  <c:v>4.6999999999999913</c:v>
                </c:pt>
                <c:pt idx="71" formatCode="General">
                  <c:v>4.7499999999999911</c:v>
                </c:pt>
                <c:pt idx="72" formatCode="General">
                  <c:v>4.7999999999999909</c:v>
                </c:pt>
                <c:pt idx="73" formatCode="General">
                  <c:v>4.8499999999999908</c:v>
                </c:pt>
                <c:pt idx="74" formatCode="General">
                  <c:v>4.8999999999999906</c:v>
                </c:pt>
                <c:pt idx="75" formatCode="General">
                  <c:v>4.9499999999999904</c:v>
                </c:pt>
                <c:pt idx="76" formatCode="General">
                  <c:v>4.9999999999999902</c:v>
                </c:pt>
              </c:numCache>
            </c:numRef>
          </c:xVal>
          <c:yVal>
            <c:numRef>
              <c:f>'Segment 1'!$C$10:$C$91</c:f>
              <c:numCache>
                <c:formatCode>0.000</c:formatCode>
                <c:ptCount val="82"/>
                <c:pt idx="0">
                  <c:v>68.309414007238757</c:v>
                </c:pt>
                <c:pt idx="1">
                  <c:v>74.226590137289179</c:v>
                </c:pt>
                <c:pt idx="2">
                  <c:v>78.899032950227479</c:v>
                </c:pt>
                <c:pt idx="3">
                  <c:v>82.624223209035492</c:v>
                </c:pt>
                <c:pt idx="4">
                  <c:v>85.620680118726156</c:v>
                </c:pt>
                <c:pt idx="5">
                  <c:v>88.050855829888945</c:v>
                </c:pt>
                <c:pt idx="6">
                  <c:v>90.03686992620699</c:v>
                </c:pt>
                <c:pt idx="7">
                  <c:v>91.671475314449893</c:v>
                </c:pt>
                <c:pt idx="8">
                  <c:v>93.025800720907398</c:v>
                </c:pt>
                <c:pt idx="9">
                  <c:v>94.154883929431492</c:v>
                </c:pt>
                <c:pt idx="10">
                  <c:v>95.101671105764012</c:v>
                </c:pt>
                <c:pt idx="11">
                  <c:v>95.899938237588088</c:v>
                </c:pt>
                <c:pt idx="12">
                  <c:v>96.576446465602245</c:v>
                </c:pt>
                <c:pt idx="13">
                  <c:v>97.152547121133821</c:v>
                </c:pt>
                <c:pt idx="14">
                  <c:v>97.645387511776448</c:v>
                </c:pt>
                <c:pt idx="15">
                  <c:v>98.068824301913423</c:v>
                </c:pt>
                <c:pt idx="16">
                  <c:v>98.43412083025413</c:v>
                </c:pt>
                <c:pt idx="17">
                  <c:v>98.750483428687645</c:v>
                </c:pt>
                <c:pt idx="18">
                  <c:v>99.025476816018099</c:v>
                </c:pt>
                <c:pt idx="19">
                  <c:v>99.265347978517326</c:v>
                </c:pt>
                <c:pt idx="20">
                  <c:v>99.475280298274683</c:v>
                </c:pt>
                <c:pt idx="21">
                  <c:v>99.65959415297344</c:v>
                </c:pt>
                <c:pt idx="22">
                  <c:v>99.821906170547123</c:v>
                </c:pt>
                <c:pt idx="23">
                  <c:v>99.9652563515926</c:v>
                </c:pt>
                <c:pt idx="24">
                  <c:v>100.09221007219735</c:v>
                </c:pt>
                <c:pt idx="25">
                  <c:v>100.20494033876</c:v>
                </c:pt>
                <c:pt idx="26">
                  <c:v>100.30529443414858</c:v>
                </c:pt>
                <c:pt idx="27">
                  <c:v>100.39484816336545</c:v>
                </c:pt>
                <c:pt idx="28">
                  <c:v>100.47495019890744</c:v>
                </c:pt>
                <c:pt idx="29">
                  <c:v>100.54675848456384</c:v>
                </c:pt>
                <c:pt idx="30">
                  <c:v>100.61127023998431</c:v>
                </c:pt>
                <c:pt idx="31">
                  <c:v>100.66934678636947</c:v>
                </c:pt>
                <c:pt idx="32">
                  <c:v>100.72173416338539</c:v>
                </c:pt>
                <c:pt idx="33">
                  <c:v>100.76908031193176</c:v>
                </c:pt>
                <c:pt idx="34">
                  <c:v>100.81194944398112</c:v>
                </c:pt>
                <c:pt idx="35">
                  <c:v>100.85083409974736</c:v>
                </c:pt>
                <c:pt idx="36">
                  <c:v>100.88616529664858</c:v>
                </c:pt>
                <c:pt idx="37">
                  <c:v>100.91832109834253</c:v>
                </c:pt>
                <c:pt idx="38">
                  <c:v>100.94763387126775</c:v>
                </c:pt>
                <c:pt idx="39">
                  <c:v>100.97439644734047</c:v>
                </c:pt>
                <c:pt idx="40" formatCode="General">
                  <c:v>100.99886737219174</c:v>
                </c:pt>
                <c:pt idx="41" formatCode="General">
                  <c:v>101.02127538661031</c:v>
                </c:pt>
                <c:pt idx="42" formatCode="General">
                  <c:v>101.04182326313901</c:v>
                </c:pt>
                <c:pt idx="43" formatCode="General">
                  <c:v>101.06069109885095</c:v>
                </c:pt>
                <c:pt idx="44" formatCode="General">
                  <c:v>101.0780391482531</c:v>
                </c:pt>
                <c:pt idx="45" formatCode="General">
                  <c:v>101.09401026627847</c:v>
                </c:pt>
                <c:pt idx="46" formatCode="General">
                  <c:v>101.1087320198386</c:v>
                </c:pt>
                <c:pt idx="47" formatCode="General">
                  <c:v>101.1223185169396</c:v>
                </c:pt>
                <c:pt idx="48" formatCode="General">
                  <c:v>101.13487199454065</c:v>
                </c:pt>
                <c:pt idx="49" formatCode="General">
                  <c:v>101.14648419984803</c:v>
                </c:pt>
                <c:pt idx="50" formatCode="General">
                  <c:v>101.15723759434781</c:v>
                </c:pt>
                <c:pt idx="51" formatCode="General">
                  <c:v>101.16720640538776</c:v>
                </c:pt>
                <c:pt idx="52" formatCode="General">
                  <c:v>101.1764575463659</c:v>
                </c:pt>
                <c:pt idx="53" formatCode="General">
                  <c:v>101.18505142343865</c:v>
                </c:pt>
                <c:pt idx="54" formatCode="General">
                  <c:v>101.19304264402089</c:v>
                </c:pt>
                <c:pt idx="55" formatCode="General">
                  <c:v>101.20048064012757</c:v>
                </c:pt>
                <c:pt idx="56" formatCode="General">
                  <c:v>101.20741021773104</c:v>
                </c:pt>
                <c:pt idx="57" formatCode="General">
                  <c:v>101.21387204172181</c:v>
                </c:pt>
                <c:pt idx="58" formatCode="General">
                  <c:v>101.21990306471631</c:v>
                </c:pt>
                <c:pt idx="59" formatCode="General">
                  <c:v>101.22553690681309</c:v>
                </c:pt>
                <c:pt idx="60" formatCode="General">
                  <c:v>101.23080419242716</c:v>
                </c:pt>
                <c:pt idx="61" formatCode="General">
                  <c:v>101.23573284950227</c:v>
                </c:pt>
                <c:pt idx="62" formatCode="General">
                  <c:v>101.24034837569346</c:v>
                </c:pt>
                <c:pt idx="63" formatCode="General">
                  <c:v>101.24467407550425</c:v>
                </c:pt>
                <c:pt idx="64" formatCode="General">
                  <c:v>101.24873127184298</c:v>
                </c:pt>
                <c:pt idx="65" formatCode="General">
                  <c:v>101.25253949501487</c:v>
                </c:pt>
                <c:pt idx="66" formatCode="General">
                  <c:v>101.25611665178121</c:v>
                </c:pt>
                <c:pt idx="67" formatCode="General">
                  <c:v>101.25947917678447</c:v>
                </c:pt>
                <c:pt idx="68" formatCode="General">
                  <c:v>101.26264216835099</c:v>
                </c:pt>
                <c:pt idx="69" formatCode="General">
                  <c:v>101.26561951043419</c:v>
                </c:pt>
                <c:pt idx="70" formatCode="General">
                  <c:v>101.26842398224545</c:v>
                </c:pt>
                <c:pt idx="71" formatCode="General">
                  <c:v>101.27106735693292</c:v>
                </c:pt>
                <c:pt idx="72" formatCode="General">
                  <c:v>101.2735604905052</c:v>
                </c:pt>
                <c:pt idx="73" formatCode="General">
                  <c:v>101.27591340205559</c:v>
                </c:pt>
                <c:pt idx="74" formatCode="General">
                  <c:v>101.27813534621781</c:v>
                </c:pt>
                <c:pt idx="75" formatCode="General">
                  <c:v>101.28023487867711</c:v>
                </c:pt>
                <c:pt idx="76" formatCode="General">
                  <c:v>101.28221991546522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56-43D8-90EC-B89A03B02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63552"/>
        <c:axId val="167065088"/>
      </c:scatterChart>
      <c:valAx>
        <c:axId val="167063552"/>
        <c:scaling>
          <c:orientation val="minMax"/>
          <c:max val="5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Diameter</a:t>
                </a:r>
                <a:r>
                  <a:rPr lang="en-US" baseline="0"/>
                  <a:t> (in)</a:t>
                </a:r>
                <a:endParaRPr lang="en-US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7065088"/>
        <c:crosses val="autoZero"/>
        <c:crossBetween val="midCat"/>
        <c:majorUnit val="1"/>
        <c:minorUnit val="0.25"/>
      </c:valAx>
      <c:valAx>
        <c:axId val="167065088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</a:t>
                </a:r>
                <a:r>
                  <a:rPr lang="en-US" baseline="0"/>
                  <a:t> Out (kPa)</a:t>
                </a:r>
                <a:endParaRPr lang="en-US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6706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Segment 2 Pressure Out</c:v>
          </c:tx>
          <c:spPr>
            <a:ln w="19050">
              <a:noFill/>
            </a:ln>
          </c:spPr>
          <c:trendline>
            <c:trendlineType val="poly"/>
            <c:order val="6"/>
            <c:dispRSqr val="1"/>
            <c:dispEq val="0"/>
            <c:trendlineLbl>
              <c:layout>
                <c:manualLayout>
                  <c:x val="-0.73951649936887665"/>
                  <c:y val="-0.14699374635494078"/>
                </c:manualLayout>
              </c:layout>
              <c:numFmt formatCode="General" sourceLinked="0"/>
            </c:trendlineLbl>
          </c:trendline>
          <c:xVal>
            <c:numRef>
              <c:f>'Segment 1'!$E$10:$E$91</c:f>
              <c:numCache>
                <c:formatCode>0.00</c:formatCode>
                <c:ptCount val="82"/>
                <c:pt idx="0">
                  <c:v>1</c:v>
                </c:pt>
                <c:pt idx="1">
                  <c:v>1.05</c:v>
                </c:pt>
                <c:pt idx="2">
                  <c:v>1.1000000000000001</c:v>
                </c:pt>
                <c:pt idx="3">
                  <c:v>1.1500000000000001</c:v>
                </c:pt>
                <c:pt idx="4">
                  <c:v>1.2000000000000002</c:v>
                </c:pt>
                <c:pt idx="5">
                  <c:v>1.2500000000000002</c:v>
                </c:pt>
                <c:pt idx="6">
                  <c:v>1.3000000000000003</c:v>
                </c:pt>
                <c:pt idx="7">
                  <c:v>1.3500000000000003</c:v>
                </c:pt>
                <c:pt idx="8">
                  <c:v>1.4000000000000004</c:v>
                </c:pt>
                <c:pt idx="9">
                  <c:v>1.4500000000000004</c:v>
                </c:pt>
                <c:pt idx="10">
                  <c:v>1.5000000000000004</c:v>
                </c:pt>
                <c:pt idx="11">
                  <c:v>1.5500000000000005</c:v>
                </c:pt>
                <c:pt idx="12">
                  <c:v>1.6000000000000005</c:v>
                </c:pt>
                <c:pt idx="13">
                  <c:v>1.6500000000000006</c:v>
                </c:pt>
                <c:pt idx="14">
                  <c:v>1.7000000000000006</c:v>
                </c:pt>
                <c:pt idx="15">
                  <c:v>1.7500000000000007</c:v>
                </c:pt>
                <c:pt idx="16">
                  <c:v>1.8000000000000007</c:v>
                </c:pt>
                <c:pt idx="17">
                  <c:v>1.8500000000000008</c:v>
                </c:pt>
                <c:pt idx="18">
                  <c:v>1.9000000000000008</c:v>
                </c:pt>
                <c:pt idx="19">
                  <c:v>1.9500000000000008</c:v>
                </c:pt>
                <c:pt idx="20" formatCode="General">
                  <c:v>2.0000000000000009</c:v>
                </c:pt>
                <c:pt idx="21" formatCode="General">
                  <c:v>2.0500000000000007</c:v>
                </c:pt>
                <c:pt idx="22" formatCode="General">
                  <c:v>2.1000000000000005</c:v>
                </c:pt>
                <c:pt idx="23" formatCode="General">
                  <c:v>2.1500000000000004</c:v>
                </c:pt>
                <c:pt idx="24" formatCode="General">
                  <c:v>2.2000000000000002</c:v>
                </c:pt>
                <c:pt idx="25" formatCode="General">
                  <c:v>2.25</c:v>
                </c:pt>
                <c:pt idx="26" formatCode="General">
                  <c:v>2.2999999999999998</c:v>
                </c:pt>
                <c:pt idx="27" formatCode="General">
                  <c:v>2.3499999999999996</c:v>
                </c:pt>
                <c:pt idx="28" formatCode="General">
                  <c:v>2.3999999999999995</c:v>
                </c:pt>
                <c:pt idx="29" formatCode="General">
                  <c:v>2.4499999999999993</c:v>
                </c:pt>
                <c:pt idx="30" formatCode="General">
                  <c:v>2.4999999999999991</c:v>
                </c:pt>
                <c:pt idx="31" formatCode="General">
                  <c:v>2.5499999999999989</c:v>
                </c:pt>
                <c:pt idx="32" formatCode="General">
                  <c:v>2.5999999999999988</c:v>
                </c:pt>
                <c:pt idx="33" formatCode="General">
                  <c:v>2.6499999999999986</c:v>
                </c:pt>
                <c:pt idx="34" formatCode="General">
                  <c:v>2.6999999999999984</c:v>
                </c:pt>
                <c:pt idx="35" formatCode="General">
                  <c:v>2.7499999999999982</c:v>
                </c:pt>
                <c:pt idx="36" formatCode="General">
                  <c:v>2.799999999999998</c:v>
                </c:pt>
                <c:pt idx="37" formatCode="General">
                  <c:v>2.8499999999999979</c:v>
                </c:pt>
                <c:pt idx="38" formatCode="General">
                  <c:v>2.8999999999999977</c:v>
                </c:pt>
                <c:pt idx="39" formatCode="General">
                  <c:v>2.9499999999999975</c:v>
                </c:pt>
                <c:pt idx="40" formatCode="General">
                  <c:v>2.9999999999999973</c:v>
                </c:pt>
                <c:pt idx="41" formatCode="General">
                  <c:v>3.0499999999999972</c:v>
                </c:pt>
                <c:pt idx="42" formatCode="General">
                  <c:v>3.099999999999997</c:v>
                </c:pt>
                <c:pt idx="43" formatCode="General">
                  <c:v>3.1499999999999968</c:v>
                </c:pt>
                <c:pt idx="44" formatCode="General">
                  <c:v>3.1999999999999966</c:v>
                </c:pt>
                <c:pt idx="45" formatCode="General">
                  <c:v>3.2499999999999964</c:v>
                </c:pt>
                <c:pt idx="46" formatCode="General">
                  <c:v>3.2999999999999963</c:v>
                </c:pt>
                <c:pt idx="47" formatCode="General">
                  <c:v>3.3499999999999961</c:v>
                </c:pt>
                <c:pt idx="48" formatCode="General">
                  <c:v>3.3999999999999959</c:v>
                </c:pt>
                <c:pt idx="49" formatCode="General">
                  <c:v>3.4499999999999957</c:v>
                </c:pt>
                <c:pt idx="50" formatCode="General">
                  <c:v>3.4999999999999956</c:v>
                </c:pt>
                <c:pt idx="51" formatCode="General">
                  <c:v>3.5499999999999954</c:v>
                </c:pt>
                <c:pt idx="52" formatCode="General">
                  <c:v>3.5999999999999952</c:v>
                </c:pt>
                <c:pt idx="53" formatCode="General">
                  <c:v>3.649999999999995</c:v>
                </c:pt>
                <c:pt idx="54" formatCode="General">
                  <c:v>3.6999999999999948</c:v>
                </c:pt>
                <c:pt idx="55" formatCode="General">
                  <c:v>3.7499999999999947</c:v>
                </c:pt>
                <c:pt idx="56" formatCode="General">
                  <c:v>3.7999999999999945</c:v>
                </c:pt>
                <c:pt idx="57" formatCode="General">
                  <c:v>3.8499999999999943</c:v>
                </c:pt>
                <c:pt idx="58" formatCode="General">
                  <c:v>3.8999999999999941</c:v>
                </c:pt>
                <c:pt idx="59" formatCode="General">
                  <c:v>3.949999999999994</c:v>
                </c:pt>
                <c:pt idx="60" formatCode="General">
                  <c:v>3.9999999999999938</c:v>
                </c:pt>
                <c:pt idx="61" formatCode="General">
                  <c:v>4.0499999999999936</c:v>
                </c:pt>
                <c:pt idx="62" formatCode="General">
                  <c:v>4.0999999999999934</c:v>
                </c:pt>
                <c:pt idx="63" formatCode="General">
                  <c:v>4.1499999999999932</c:v>
                </c:pt>
                <c:pt idx="64" formatCode="General">
                  <c:v>4.1999999999999931</c:v>
                </c:pt>
                <c:pt idx="65" formatCode="General">
                  <c:v>4.2499999999999929</c:v>
                </c:pt>
                <c:pt idx="66" formatCode="General">
                  <c:v>4.2999999999999927</c:v>
                </c:pt>
                <c:pt idx="67" formatCode="General">
                  <c:v>4.3499999999999925</c:v>
                </c:pt>
                <c:pt idx="68" formatCode="General">
                  <c:v>4.3999999999999924</c:v>
                </c:pt>
                <c:pt idx="69" formatCode="General">
                  <c:v>4.4499999999999922</c:v>
                </c:pt>
                <c:pt idx="70" formatCode="General">
                  <c:v>4.499999999999992</c:v>
                </c:pt>
                <c:pt idx="71" formatCode="General">
                  <c:v>4.5499999999999918</c:v>
                </c:pt>
                <c:pt idx="72" formatCode="General">
                  <c:v>4.5999999999999917</c:v>
                </c:pt>
                <c:pt idx="73" formatCode="General">
                  <c:v>4.6499999999999915</c:v>
                </c:pt>
                <c:pt idx="74" formatCode="General">
                  <c:v>4.6999999999999913</c:v>
                </c:pt>
                <c:pt idx="75" formatCode="General">
                  <c:v>4.7499999999999911</c:v>
                </c:pt>
                <c:pt idx="76" formatCode="General">
                  <c:v>4.7999999999999909</c:v>
                </c:pt>
                <c:pt idx="77" formatCode="General">
                  <c:v>4.8499999999999908</c:v>
                </c:pt>
                <c:pt idx="78" formatCode="General">
                  <c:v>4.8999999999999906</c:v>
                </c:pt>
                <c:pt idx="79" formatCode="General">
                  <c:v>4.9499999999999904</c:v>
                </c:pt>
                <c:pt idx="80" formatCode="General">
                  <c:v>4.9999999999999902</c:v>
                </c:pt>
              </c:numCache>
            </c:numRef>
          </c:xVal>
          <c:yVal>
            <c:numRef>
              <c:f>'Segment 1'!$F$10:$F$91</c:f>
              <c:numCache>
                <c:formatCode>0.000</c:formatCode>
                <c:ptCount val="82"/>
                <c:pt idx="0">
                  <c:v>78.991724925406515</c:v>
                </c:pt>
                <c:pt idx="1">
                  <c:v>83.658448170751313</c:v>
                </c:pt>
                <c:pt idx="2">
                  <c:v>87.185272146488288</c:v>
                </c:pt>
                <c:pt idx="3">
                  <c:v>89.886794997633004</c:v>
                </c:pt>
                <c:pt idx="4">
                  <c:v>91.981968204901975</c:v>
                </c:pt>
                <c:pt idx="5">
                  <c:v>93.625344279455362</c:v>
                </c:pt>
                <c:pt idx="6">
                  <c:v>94.927768838370866</c:v>
                </c:pt>
                <c:pt idx="7">
                  <c:v>95.969864044505101</c:v>
                </c:pt>
                <c:pt idx="8">
                  <c:v>96.811031962726332</c:v>
                </c:pt>
                <c:pt idx="9">
                  <c:v>97.495565279743829</c:v>
                </c:pt>
                <c:pt idx="10">
                  <c:v>98.056857694289491</c:v>
                </c:pt>
                <c:pt idx="11">
                  <c:v>98.52034572525865</c:v>
                </c:pt>
                <c:pt idx="12">
                  <c:v>98.905590988635183</c:v>
                </c:pt>
                <c:pt idx="13">
                  <c:v>99.227771995087707</c:v>
                </c:pt>
                <c:pt idx="14">
                  <c:v>99.498765027669421</c:v>
                </c:pt>
                <c:pt idx="15">
                  <c:v>99.727935607172171</c:v>
                </c:pt>
                <c:pt idx="16">
                  <c:v>99.922723794611287</c:v>
                </c:pt>
                <c:pt idx="17">
                  <c:v>100.08908107806128</c:v>
                </c:pt>
                <c:pt idx="18">
                  <c:v>100.23179934354711</c:v>
                </c:pt>
                <c:pt idx="19">
                  <c:v>100.3547606386021</c:v>
                </c:pt>
                <c:pt idx="20">
                  <c:v>100.46112828268758</c:v>
                </c:pt>
                <c:pt idx="21">
                  <c:v>100.55349417981581</c:v>
                </c:pt>
                <c:pt idx="22">
                  <c:v>100.63399316608745</c:v>
                </c:pt>
                <c:pt idx="23">
                  <c:v>100.70439235850327</c:v>
                </c:pt>
                <c:pt idx="24">
                  <c:v>100.76616141062772</c:v>
                </c:pt>
                <c:pt idx="25">
                  <c:v>100.82052808643847</c:v>
                </c:pt>
                <c:pt idx="26">
                  <c:v>100.86852247146726</c:v>
                </c:pt>
                <c:pt idx="27">
                  <c:v>100.91101233580976</c:v>
                </c:pt>
                <c:pt idx="28">
                  <c:v>100.94873156662382</c:v>
                </c:pt>
                <c:pt idx="29">
                  <c:v>100.98230314169103</c:v>
                </c:pt>
                <c:pt idx="30">
                  <c:v>101.01225778010796</c:v>
                </c:pt>
                <c:pt idx="31">
                  <c:v>101.03904915219512</c:v>
                </c:pt>
                <c:pt idx="32">
                  <c:v>101.06306633727773</c:v>
                </c:pt>
                <c:pt idx="33">
                  <c:v>101.08464406980734</c:v>
                </c:pt>
                <c:pt idx="34">
                  <c:v>101.10407120013647</c:v>
                </c:pt>
                <c:pt idx="35">
                  <c:v>101.12159770784216</c:v>
                </c:pt>
                <c:pt idx="36">
                  <c:v>101.13744053666164</c:v>
                </c:pt>
                <c:pt idx="37">
                  <c:v>101.1517884662502</c:v>
                </c:pt>
                <c:pt idx="38">
                  <c:v>101.16480619363726</c:v>
                </c:pt>
                <c:pt idx="39">
                  <c:v>101.17663776382537</c:v>
                </c:pt>
                <c:pt idx="40" formatCode="General">
                  <c:v>101.18740946245826</c:v>
                </c:pt>
                <c:pt idx="41" formatCode="General">
                  <c:v>101.1972322623607</c:v>
                </c:pt>
                <c:pt idx="42" formatCode="General">
                  <c:v>101.20620389885732</c:v>
                </c:pt>
                <c:pt idx="43" formatCode="General">
                  <c:v>101.21441063520952</c:v>
                </c:pt>
                <c:pt idx="44" formatCode="General">
                  <c:v>101.22192876857346</c:v>
                </c:pt>
                <c:pt idx="45" formatCode="General">
                  <c:v>101.22882591803342</c:v>
                </c:pt>
                <c:pt idx="46" formatCode="General">
                  <c:v>101.23516212908036</c:v>
                </c:pt>
                <c:pt idx="47" formatCode="General">
                  <c:v>101.24099082305196</c:v>
                </c:pt>
                <c:pt idx="48" formatCode="General">
                  <c:v>101.24635961526505</c:v>
                </c:pt>
                <c:pt idx="49" formatCode="General">
                  <c:v>101.25131102164724</c:v>
                </c:pt>
                <c:pt idx="50" formatCode="General">
                  <c:v>101.25588307044561</c:v>
                </c:pt>
                <c:pt idx="51" formatCode="General">
                  <c:v>101.26010983292618</c:v>
                </c:pt>
                <c:pt idx="52" formatCode="General">
                  <c:v>101.26402188477333</c:v>
                </c:pt>
                <c:pt idx="53" formatCode="General">
                  <c:v>101.26764670806764</c:v>
                </c:pt>
                <c:pt idx="54" formatCode="General">
                  <c:v>101.27100904219807</c:v>
                </c:pt>
                <c:pt idx="55" formatCode="General">
                  <c:v>101.27413119079303</c:v>
                </c:pt>
                <c:pt idx="56" formatCode="General">
                  <c:v>101.27703329069166</c:v>
                </c:pt>
                <c:pt idx="57" formatCode="General">
                  <c:v>101.27973354808421</c:v>
                </c:pt>
                <c:pt idx="58" formatCode="General">
                  <c:v>101.28224844620046</c:v>
                </c:pt>
                <c:pt idx="59" formatCode="General">
                  <c:v>101.28459292829308</c:v>
                </c:pt>
                <c:pt idx="60" formatCode="General">
                  <c:v>101.28678055912802</c:v>
                </c:pt>
                <c:pt idx="61" formatCode="General">
                  <c:v>101.28882366774214</c:v>
                </c:pt>
                <c:pt idx="62" formatCode="General">
                  <c:v>101.29073347384433</c:v>
                </c:pt>
                <c:pt idx="63" formatCode="General">
                  <c:v>101.29252019990949</c:v>
                </c:pt>
                <c:pt idx="64" formatCode="General">
                  <c:v>101.29419317073697</c:v>
                </c:pt>
                <c:pt idx="65" formatCode="General">
                  <c:v>101.29576090200702</c:v>
                </c:pt>
                <c:pt idx="66" formatCode="General">
                  <c:v>101.29723117916549</c:v>
                </c:pt>
                <c:pt idx="67" formatCode="General">
                  <c:v>101.298611127793</c:v>
                </c:pt>
                <c:pt idx="68" formatCode="General">
                  <c:v>101.29990727646444</c:v>
                </c:pt>
                <c:pt idx="69" formatCode="General">
                  <c:v>101.30112561297624</c:v>
                </c:pt>
                <c:pt idx="70" formatCode="General">
                  <c:v>101.30227163470749</c:v>
                </c:pt>
                <c:pt idx="71" formatCode="General">
                  <c:v>101.30335039378505</c:v>
                </c:pt>
                <c:pt idx="72" formatCode="General">
                  <c:v>101.30436653763965</c:v>
                </c:pt>
                <c:pt idx="73" formatCode="General">
                  <c:v>101.30532434546838</c:v>
                </c:pt>
                <c:pt idx="74" formatCode="General">
                  <c:v>101.30622776105584</c:v>
                </c:pt>
                <c:pt idx="75" formatCode="General">
                  <c:v>101.30708042235267</c:v>
                </c:pt>
                <c:pt idx="76" formatCode="General">
                  <c:v>101.30788568816222</c:v>
                </c:pt>
                <c:pt idx="77" formatCode="General">
                  <c:v>101.30864666224534</c:v>
                </c:pt>
                <c:pt idx="78" formatCode="General">
                  <c:v>101.30936621511702</c:v>
                </c:pt>
                <c:pt idx="79" formatCode="General">
                  <c:v>101.31004700377706</c:v>
                </c:pt>
                <c:pt idx="80" formatCode="General">
                  <c:v>101.31069148958949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0D-4D96-84D6-0F75D5209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94912"/>
        <c:axId val="167100800"/>
      </c:scatterChart>
      <c:valAx>
        <c:axId val="167094912"/>
        <c:scaling>
          <c:orientation val="minMax"/>
          <c:max val="5"/>
          <c:min val="1"/>
        </c:scaling>
        <c:delete val="0"/>
        <c:axPos val="b"/>
        <c:majorGridlines/>
        <c:minorGridlines/>
        <c:numFmt formatCode="0.00" sourceLinked="1"/>
        <c:majorTickMark val="out"/>
        <c:minorTickMark val="none"/>
        <c:tickLblPos val="nextTo"/>
        <c:crossAx val="167100800"/>
        <c:crosses val="autoZero"/>
        <c:crossBetween val="midCat"/>
        <c:majorUnit val="1"/>
        <c:minorUnit val="0.25"/>
      </c:valAx>
      <c:valAx>
        <c:axId val="167100800"/>
        <c:scaling>
          <c:orientation val="minMax"/>
          <c:min val="20"/>
        </c:scaling>
        <c:delete val="0"/>
        <c:axPos val="l"/>
        <c:majorGridlines/>
        <c:minorGridlines/>
        <c:numFmt formatCode="0.000" sourceLinked="1"/>
        <c:majorTickMark val="out"/>
        <c:minorTickMark val="none"/>
        <c:tickLblPos val="nextTo"/>
        <c:crossAx val="16709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Segment 3 Pressure Out</c:v>
          </c:tx>
          <c:spPr>
            <a:ln w="19050">
              <a:noFill/>
            </a:ln>
          </c:spPr>
          <c:trendline>
            <c:trendlineType val="poly"/>
            <c:order val="6"/>
            <c:dispRSqr val="1"/>
            <c:dispEq val="0"/>
            <c:trendlineLbl>
              <c:layout>
                <c:manualLayout>
                  <c:x val="-0.14159891732283464"/>
                  <c:y val="0.1585695499624131"/>
                </c:manualLayout>
              </c:layout>
              <c:numFmt formatCode="General" sourceLinked="0"/>
            </c:trendlineLbl>
          </c:trendline>
          <c:xVal>
            <c:numRef>
              <c:f>'Segment 1'!$H$10:$H$91</c:f>
              <c:numCache>
                <c:formatCode>0.00</c:formatCode>
                <c:ptCount val="82"/>
                <c:pt idx="0">
                  <c:v>0.95</c:v>
                </c:pt>
                <c:pt idx="1">
                  <c:v>1</c:v>
                </c:pt>
                <c:pt idx="2">
                  <c:v>1.05</c:v>
                </c:pt>
                <c:pt idx="3">
                  <c:v>1.1000000000000001</c:v>
                </c:pt>
                <c:pt idx="4">
                  <c:v>1.1500000000000001</c:v>
                </c:pt>
                <c:pt idx="5">
                  <c:v>1.2000000000000002</c:v>
                </c:pt>
                <c:pt idx="6">
                  <c:v>1.2500000000000002</c:v>
                </c:pt>
                <c:pt idx="7">
                  <c:v>1.3000000000000003</c:v>
                </c:pt>
                <c:pt idx="8">
                  <c:v>1.3500000000000003</c:v>
                </c:pt>
                <c:pt idx="9">
                  <c:v>1.4000000000000004</c:v>
                </c:pt>
                <c:pt idx="10">
                  <c:v>1.4500000000000004</c:v>
                </c:pt>
                <c:pt idx="11">
                  <c:v>1.5000000000000004</c:v>
                </c:pt>
                <c:pt idx="12">
                  <c:v>1.5500000000000005</c:v>
                </c:pt>
                <c:pt idx="13">
                  <c:v>1.6000000000000005</c:v>
                </c:pt>
                <c:pt idx="14">
                  <c:v>1.6500000000000006</c:v>
                </c:pt>
                <c:pt idx="15">
                  <c:v>1.7000000000000006</c:v>
                </c:pt>
                <c:pt idx="16">
                  <c:v>1.7500000000000007</c:v>
                </c:pt>
                <c:pt idx="17">
                  <c:v>1.8000000000000007</c:v>
                </c:pt>
                <c:pt idx="18">
                  <c:v>1.8500000000000008</c:v>
                </c:pt>
                <c:pt idx="19">
                  <c:v>1.9000000000000008</c:v>
                </c:pt>
                <c:pt idx="20">
                  <c:v>1.9500000000000008</c:v>
                </c:pt>
                <c:pt idx="21">
                  <c:v>2.0000000000000009</c:v>
                </c:pt>
                <c:pt idx="22">
                  <c:v>2.0500000000000007</c:v>
                </c:pt>
                <c:pt idx="23">
                  <c:v>2.1000000000000005</c:v>
                </c:pt>
                <c:pt idx="24">
                  <c:v>2.1500000000000004</c:v>
                </c:pt>
                <c:pt idx="25">
                  <c:v>2.2000000000000002</c:v>
                </c:pt>
                <c:pt idx="26">
                  <c:v>2.25</c:v>
                </c:pt>
                <c:pt idx="27">
                  <c:v>2.2999999999999998</c:v>
                </c:pt>
                <c:pt idx="28">
                  <c:v>2.3499999999999996</c:v>
                </c:pt>
                <c:pt idx="29">
                  <c:v>2.3999999999999995</c:v>
                </c:pt>
                <c:pt idx="30">
                  <c:v>2.4499999999999993</c:v>
                </c:pt>
                <c:pt idx="31">
                  <c:v>2.4999999999999991</c:v>
                </c:pt>
                <c:pt idx="32">
                  <c:v>2.5499999999999989</c:v>
                </c:pt>
                <c:pt idx="33">
                  <c:v>2.5999999999999988</c:v>
                </c:pt>
                <c:pt idx="34">
                  <c:v>2.6499999999999986</c:v>
                </c:pt>
                <c:pt idx="35">
                  <c:v>2.6999999999999984</c:v>
                </c:pt>
                <c:pt idx="36">
                  <c:v>2.7499999999999982</c:v>
                </c:pt>
                <c:pt idx="37">
                  <c:v>2.799999999999998</c:v>
                </c:pt>
                <c:pt idx="38">
                  <c:v>2.8499999999999979</c:v>
                </c:pt>
                <c:pt idx="39">
                  <c:v>2.8999999999999977</c:v>
                </c:pt>
                <c:pt idx="40">
                  <c:v>2.9499999999999975</c:v>
                </c:pt>
                <c:pt idx="41">
                  <c:v>2.9999999999999973</c:v>
                </c:pt>
                <c:pt idx="42">
                  <c:v>3.0499999999999972</c:v>
                </c:pt>
                <c:pt idx="43">
                  <c:v>3.099999999999997</c:v>
                </c:pt>
                <c:pt idx="44">
                  <c:v>3.1499999999999968</c:v>
                </c:pt>
                <c:pt idx="45">
                  <c:v>3.1999999999999966</c:v>
                </c:pt>
                <c:pt idx="46">
                  <c:v>3.2499999999999964</c:v>
                </c:pt>
                <c:pt idx="47">
                  <c:v>3.2999999999999963</c:v>
                </c:pt>
                <c:pt idx="48">
                  <c:v>3.3499999999999961</c:v>
                </c:pt>
                <c:pt idx="49">
                  <c:v>3.3999999999999959</c:v>
                </c:pt>
                <c:pt idx="50">
                  <c:v>3.4499999999999957</c:v>
                </c:pt>
                <c:pt idx="51">
                  <c:v>3.4999999999999956</c:v>
                </c:pt>
                <c:pt idx="52">
                  <c:v>3.5499999999999954</c:v>
                </c:pt>
                <c:pt idx="53">
                  <c:v>3.5999999999999952</c:v>
                </c:pt>
                <c:pt idx="54">
                  <c:v>3.649999999999995</c:v>
                </c:pt>
                <c:pt idx="55">
                  <c:v>3.6999999999999948</c:v>
                </c:pt>
                <c:pt idx="56">
                  <c:v>3.7499999999999947</c:v>
                </c:pt>
                <c:pt idx="57">
                  <c:v>3.7999999999999945</c:v>
                </c:pt>
                <c:pt idx="58">
                  <c:v>3.8499999999999943</c:v>
                </c:pt>
                <c:pt idx="59">
                  <c:v>3.8999999999999941</c:v>
                </c:pt>
                <c:pt idx="60">
                  <c:v>3.949999999999994</c:v>
                </c:pt>
                <c:pt idx="61">
                  <c:v>3.9999999999999938</c:v>
                </c:pt>
                <c:pt idx="62">
                  <c:v>4.0499999999999936</c:v>
                </c:pt>
                <c:pt idx="63">
                  <c:v>4.0999999999999934</c:v>
                </c:pt>
                <c:pt idx="64">
                  <c:v>4.1499999999999932</c:v>
                </c:pt>
                <c:pt idx="65">
                  <c:v>4.1999999999999931</c:v>
                </c:pt>
                <c:pt idx="66">
                  <c:v>4.2499999999999929</c:v>
                </c:pt>
                <c:pt idx="67">
                  <c:v>4.2999999999999927</c:v>
                </c:pt>
                <c:pt idx="68">
                  <c:v>4.3499999999999925</c:v>
                </c:pt>
                <c:pt idx="69">
                  <c:v>4.3999999999999924</c:v>
                </c:pt>
                <c:pt idx="70">
                  <c:v>4.4499999999999922</c:v>
                </c:pt>
                <c:pt idx="71">
                  <c:v>4.499999999999992</c:v>
                </c:pt>
                <c:pt idx="72">
                  <c:v>4.5499999999999918</c:v>
                </c:pt>
                <c:pt idx="73">
                  <c:v>4.5999999999999917</c:v>
                </c:pt>
                <c:pt idx="74">
                  <c:v>4.6499999999999915</c:v>
                </c:pt>
                <c:pt idx="75">
                  <c:v>4.6999999999999913</c:v>
                </c:pt>
                <c:pt idx="76">
                  <c:v>4.7499999999999911</c:v>
                </c:pt>
                <c:pt idx="77">
                  <c:v>4.7999999999999909</c:v>
                </c:pt>
                <c:pt idx="78">
                  <c:v>4.8499999999999908</c:v>
                </c:pt>
                <c:pt idx="79">
                  <c:v>4.8999999999999906</c:v>
                </c:pt>
                <c:pt idx="80">
                  <c:v>4.9499999999999904</c:v>
                </c:pt>
                <c:pt idx="81">
                  <c:v>4.9999999999999902</c:v>
                </c:pt>
              </c:numCache>
            </c:numRef>
          </c:xVal>
          <c:yVal>
            <c:numRef>
              <c:f>'Segment 1'!$I$10:$I$91</c:f>
              <c:numCache>
                <c:formatCode>0.000</c:formatCode>
                <c:ptCount val="82"/>
                <c:pt idx="0">
                  <c:v>159.52376924448345</c:v>
                </c:pt>
                <c:pt idx="1">
                  <c:v>179.22005502047116</c:v>
                </c:pt>
                <c:pt idx="2">
                  <c:v>193.34982910834731</c:v>
                </c:pt>
                <c:pt idx="3">
                  <c:v>203.65786348382983</c:v>
                </c:pt>
                <c:pt idx="4">
                  <c:v>211.29311070679114</c:v>
                </c:pt>
                <c:pt idx="5">
                  <c:v>217.02747853024266</c:v>
                </c:pt>
                <c:pt idx="6">
                  <c:v>221.38909804403164</c:v>
                </c:pt>
                <c:pt idx="7">
                  <c:v>224.74537567837922</c:v>
                </c:pt>
                <c:pt idx="8">
                  <c:v>227.3558378138809</c:v>
                </c:pt>
                <c:pt idx="9">
                  <c:v>229.40640130202604</c:v>
                </c:pt>
                <c:pt idx="10">
                  <c:v>231.03199097864524</c:v>
                </c:pt>
                <c:pt idx="11">
                  <c:v>232.33170966366043</c:v>
                </c:pt>
                <c:pt idx="12">
                  <c:v>233.37916627980195</c:v>
                </c:pt>
                <c:pt idx="13">
                  <c:v>234.22960580390733</c:v>
                </c:pt>
                <c:pt idx="14">
                  <c:v>234.92489541149567</c:v>
                </c:pt>
                <c:pt idx="15">
                  <c:v>235.49705371807468</c:v>
                </c:pt>
                <c:pt idx="16">
                  <c:v>235.97077715362283</c:v>
                </c:pt>
                <c:pt idx="17">
                  <c:v>236.3652676737355</c:v>
                </c:pt>
                <c:pt idx="18">
                  <c:v>236.69556822430954</c:v>
                </c:pt>
                <c:pt idx="19">
                  <c:v>236.97354770128015</c:v>
                </c:pt>
                <c:pt idx="20">
                  <c:v>237.2086338321854</c:v>
                </c:pt>
                <c:pt idx="21">
                  <c:v>237.40836305344274</c:v>
                </c:pt>
                <c:pt idx="22">
                  <c:v>237.57879634347424</c:v>
                </c:pt>
                <c:pt idx="23">
                  <c:v>237.72483604362338</c:v>
                </c:pt>
                <c:pt idx="24">
                  <c:v>237.85046895764077</c:v>
                </c:pt>
                <c:pt idx="25">
                  <c:v>237.95895414325636</c:v>
                </c:pt>
                <c:pt idx="26">
                  <c:v>238.0529689104452</c:v>
                </c:pt>
                <c:pt idx="27">
                  <c:v>238.13472302157984</c:v>
                </c:pt>
                <c:pt idx="28">
                  <c:v>238.20604853978236</c:v>
                </c:pt>
                <c:pt idx="29">
                  <c:v>238.26847091154673</c:v>
                </c:pt>
                <c:pt idx="30">
                  <c:v>238.32326550204263</c:v>
                </c:pt>
                <c:pt idx="31">
                  <c:v>238.37150278893259</c:v>
                </c:pt>
                <c:pt idx="32">
                  <c:v>238.41408466580884</c:v>
                </c:pt>
                <c:pt idx="33">
                  <c:v>238.45177374020426</c:v>
                </c:pt>
                <c:pt idx="34">
                  <c:v>238.48521708382285</c:v>
                </c:pt>
                <c:pt idx="35">
                  <c:v>238.51496556821664</c:v>
                </c:pt>
                <c:pt idx="36">
                  <c:v>238.54148967143772</c:v>
                </c:pt>
                <c:pt idx="37">
                  <c:v>238.56519245104536</c:v>
                </c:pt>
                <c:pt idx="38">
                  <c:v>238.58642023211681</c:v>
                </c:pt>
                <c:pt idx="39">
                  <c:v>238.60547144511119</c:v>
                </c:pt>
                <c:pt idx="40" formatCode="General">
                  <c:v>238.62260395975429</c:v>
                </c:pt>
                <c:pt idx="41" formatCode="General">
                  <c:v>238.63804119167926</c:v>
                </c:pt>
                <c:pt idx="42" formatCode="General">
                  <c:v>238.65197720395474</c:v>
                </c:pt>
                <c:pt idx="43" formatCode="General">
                  <c:v>238.66458098250251</c:v>
                </c:pt>
                <c:pt idx="44" formatCode="General">
                  <c:v>238.6760000301999</c:v>
                </c:pt>
                <c:pt idx="45" formatCode="General">
                  <c:v>238.68636339722116</c:v>
                </c:pt>
                <c:pt idx="46" formatCode="General">
                  <c:v>238.69578424339448</c:v>
                </c:pt>
                <c:pt idx="47" formatCode="General">
                  <c:v>238.70436201087557</c:v>
                </c:pt>
                <c:pt idx="48" formatCode="General">
                  <c:v>238.71218427136435</c:v>
                </c:pt>
                <c:pt idx="49" formatCode="General">
                  <c:v>238.7193283007156</c:v>
                </c:pt>
                <c:pt idx="50" formatCode="General">
                  <c:v>238.72586242456899</c:v>
                </c:pt>
                <c:pt idx="51" formatCode="General">
                  <c:v>238.73184717111766</c:v>
                </c:pt>
                <c:pt idx="52" formatCode="General">
                  <c:v>238.7373362610069</c:v>
                </c:pt>
                <c:pt idx="53" formatCode="General">
                  <c:v>238.74237745933706</c:v>
                </c:pt>
                <c:pt idx="54" formatCode="General">
                  <c:v>238.74701331062471</c:v>
                </c:pt>
                <c:pt idx="55" formatCode="General">
                  <c:v>238.751281774181</c:v>
                </c:pt>
                <c:pt idx="56" formatCode="General">
                  <c:v>238.75521677456297</c:v>
                </c:pt>
                <c:pt idx="57" formatCode="General">
                  <c:v>238.75884867943088</c:v>
                </c:pt>
                <c:pt idx="58" formatCode="General">
                  <c:v>238.7622047152154</c:v>
                </c:pt>
                <c:pt idx="59" formatCode="General">
                  <c:v>238.76530932939232</c:v>
                </c:pt>
                <c:pt idx="60" formatCode="General">
                  <c:v>238.76818450682188</c:v>
                </c:pt>
                <c:pt idx="61" formatCode="General">
                  <c:v>238.77085004648612</c:v>
                </c:pt>
                <c:pt idx="62" formatCode="General">
                  <c:v>238.77332380401768</c:v>
                </c:pt>
                <c:pt idx="63" formatCode="General">
                  <c:v>238.77562190462061</c:v>
                </c:pt>
                <c:pt idx="64" formatCode="General">
                  <c:v>238.77775893031651</c:v>
                </c:pt>
                <c:pt idx="65" formatCode="General">
                  <c:v>238.77974808488642</c:v>
                </c:pt>
                <c:pt idx="66" formatCode="General">
                  <c:v>238.78160133940028</c:v>
                </c:pt>
                <c:pt idx="67" formatCode="General">
                  <c:v>238.78332956082278</c:v>
                </c:pt>
                <c:pt idx="68" formatCode="General">
                  <c:v>238.78494262583826</c:v>
                </c:pt>
                <c:pt idx="69" formatCode="General">
                  <c:v>238.78644952174605</c:v>
                </c:pt>
                <c:pt idx="70" formatCode="General">
                  <c:v>238.78785843602626</c:v>
                </c:pt>
                <c:pt idx="71" formatCode="General">
                  <c:v>238.78917683596248</c:v>
                </c:pt>
                <c:pt idx="72" formatCode="General">
                  <c:v>238.79041153952491</c:v>
                </c:pt>
                <c:pt idx="73" formatCode="General">
                  <c:v>238.79156877855948</c:v>
                </c:pt>
                <c:pt idx="74" formatCode="General">
                  <c:v>238.79265425519378</c:v>
                </c:pt>
                <c:pt idx="75" formatCode="General">
                  <c:v>238.79367319225415</c:v>
                </c:pt>
                <c:pt idx="76" formatCode="General">
                  <c:v>238.79463037838727</c:v>
                </c:pt>
                <c:pt idx="77" formatCode="General">
                  <c:v>238.79553020849349</c:v>
                </c:pt>
                <c:pt idx="78" formatCode="General">
                  <c:v>238.79637672000308</c:v>
                </c:pt>
                <c:pt idx="79" formatCode="General">
                  <c:v>238.79717362546219</c:v>
                </c:pt>
                <c:pt idx="80" formatCode="General">
                  <c:v>238.79792434183841</c:v>
                </c:pt>
                <c:pt idx="81" formatCode="General">
                  <c:v>238.79863201690603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99-4654-AA2C-4E8D6C0EB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04352"/>
        <c:axId val="167205888"/>
      </c:scatterChart>
      <c:valAx>
        <c:axId val="167204352"/>
        <c:scaling>
          <c:orientation val="minMax"/>
          <c:max val="5"/>
          <c:min val="0"/>
        </c:scaling>
        <c:delete val="0"/>
        <c:axPos val="b"/>
        <c:majorGridlines/>
        <c:minorGridlines/>
        <c:numFmt formatCode="0.00" sourceLinked="1"/>
        <c:majorTickMark val="out"/>
        <c:minorTickMark val="none"/>
        <c:tickLblPos val="nextTo"/>
        <c:crossAx val="167205888"/>
        <c:crosses val="autoZero"/>
        <c:crossBetween val="midCat"/>
      </c:valAx>
      <c:valAx>
        <c:axId val="167205888"/>
        <c:scaling>
          <c:orientation val="minMax"/>
        </c:scaling>
        <c:delete val="0"/>
        <c:axPos val="l"/>
        <c:majorGridlines/>
        <c:minorGridlines/>
        <c:numFmt formatCode="0.000" sourceLinked="1"/>
        <c:majorTickMark val="out"/>
        <c:minorTickMark val="none"/>
        <c:tickLblPos val="nextTo"/>
        <c:crossAx val="16720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</a:t>
            </a:r>
            <a:r>
              <a:rPr lang="en-US" baseline="0"/>
              <a:t> per M</a:t>
            </a:r>
            <a:r>
              <a:rPr lang="en-US"/>
              <a:t>eter for</a:t>
            </a:r>
            <a:r>
              <a:rPr lang="en-US" baseline="0"/>
              <a:t> the Ideal Diameter for each Segment 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Segment 1</c:v>
          </c:tx>
          <c:invertIfNegative val="0"/>
          <c:cat>
            <c:strRef>
              <c:f>'Material and Cost Analysis'!$C$5:$C$19</c:f>
              <c:strCache>
                <c:ptCount val="15"/>
                <c:pt idx="0">
                  <c:v>Copper</c:v>
                </c:pt>
                <c:pt idx="1">
                  <c:v>Lead</c:v>
                </c:pt>
                <c:pt idx="2">
                  <c:v>Brass</c:v>
                </c:pt>
                <c:pt idx="3">
                  <c:v>Aluminum</c:v>
                </c:pt>
                <c:pt idx="4">
                  <c:v>PVC</c:v>
                </c:pt>
                <c:pt idx="5">
                  <c:v>Stainless steel</c:v>
                </c:pt>
                <c:pt idx="6">
                  <c:v>Commercial Steel</c:v>
                </c:pt>
                <c:pt idx="7">
                  <c:v>Drawn tubing</c:v>
                </c:pt>
                <c:pt idx="8">
                  <c:v>Wrought iron</c:v>
                </c:pt>
                <c:pt idx="9">
                  <c:v>Asphalted cast iron</c:v>
                </c:pt>
                <c:pt idx="10">
                  <c:v>Galvanized iron</c:v>
                </c:pt>
                <c:pt idx="11">
                  <c:v>Cast iron</c:v>
                </c:pt>
                <c:pt idx="12">
                  <c:v>Wood stove</c:v>
                </c:pt>
                <c:pt idx="13">
                  <c:v>Concrete</c:v>
                </c:pt>
                <c:pt idx="14">
                  <c:v>Riveted Steel</c:v>
                </c:pt>
              </c:strCache>
            </c:strRef>
          </c:cat>
          <c:val>
            <c:numRef>
              <c:f>'Material and Cost Analysis'!$E$5:$E$19</c:f>
              <c:numCache>
                <c:formatCode>_("$"* #,##0.00_);_("$"* \(#,##0.00\);_("$"* "-"??_);_(@_)</c:formatCode>
                <c:ptCount val="15"/>
                <c:pt idx="0">
                  <c:v>18.519204271427775</c:v>
                </c:pt>
                <c:pt idx="1">
                  <c:v>18.519204271427775</c:v>
                </c:pt>
                <c:pt idx="2">
                  <c:v>18.519204271427775</c:v>
                </c:pt>
                <c:pt idx="3">
                  <c:v>18.519204271427775</c:v>
                </c:pt>
                <c:pt idx="4">
                  <c:v>18.519204271427775</c:v>
                </c:pt>
                <c:pt idx="5">
                  <c:v>18.519204271427775</c:v>
                </c:pt>
                <c:pt idx="6">
                  <c:v>17.748967594155026</c:v>
                </c:pt>
                <c:pt idx="7">
                  <c:v>17.341960672011581</c:v>
                </c:pt>
                <c:pt idx="8">
                  <c:v>17.748968236258321</c:v>
                </c:pt>
                <c:pt idx="9">
                  <c:v>18.040907772047024</c:v>
                </c:pt>
                <c:pt idx="10">
                  <c:v>18.099818357846171</c:v>
                </c:pt>
                <c:pt idx="11">
                  <c:v>18.23075971767506</c:v>
                </c:pt>
                <c:pt idx="12">
                  <c:v>18.145503567080176</c:v>
                </c:pt>
                <c:pt idx="13">
                  <c:v>18.390646697620454</c:v>
                </c:pt>
                <c:pt idx="14">
                  <c:v>18.641864677613139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DD-468C-A59F-7E0221BD77D9}"/>
            </c:ext>
          </c:extLst>
        </c:ser>
        <c:ser>
          <c:idx val="1"/>
          <c:order val="1"/>
          <c:tx>
            <c:v>Segment 2</c:v>
          </c:tx>
          <c:invertIfNegative val="0"/>
          <c:cat>
            <c:strRef>
              <c:f>'Material and Cost Analysis'!$C$5:$C$19</c:f>
              <c:strCache>
                <c:ptCount val="15"/>
                <c:pt idx="0">
                  <c:v>Copper</c:v>
                </c:pt>
                <c:pt idx="1">
                  <c:v>Lead</c:v>
                </c:pt>
                <c:pt idx="2">
                  <c:v>Brass</c:v>
                </c:pt>
                <c:pt idx="3">
                  <c:v>Aluminum</c:v>
                </c:pt>
                <c:pt idx="4">
                  <c:v>PVC</c:v>
                </c:pt>
                <c:pt idx="5">
                  <c:v>Stainless steel</c:v>
                </c:pt>
                <c:pt idx="6">
                  <c:v>Commercial Steel</c:v>
                </c:pt>
                <c:pt idx="7">
                  <c:v>Drawn tubing</c:v>
                </c:pt>
                <c:pt idx="8">
                  <c:v>Wrought iron</c:v>
                </c:pt>
                <c:pt idx="9">
                  <c:v>Asphalted cast iron</c:v>
                </c:pt>
                <c:pt idx="10">
                  <c:v>Galvanized iron</c:v>
                </c:pt>
                <c:pt idx="11">
                  <c:v>Cast iron</c:v>
                </c:pt>
                <c:pt idx="12">
                  <c:v>Wood stove</c:v>
                </c:pt>
                <c:pt idx="13">
                  <c:v>Concrete</c:v>
                </c:pt>
                <c:pt idx="14">
                  <c:v>Riveted Steel</c:v>
                </c:pt>
              </c:strCache>
            </c:strRef>
          </c:cat>
          <c:val>
            <c:numRef>
              <c:f>'Material and Cost Analysis'!$E$20:$E$34</c:f>
              <c:numCache>
                <c:formatCode>_("$"* #,##0.00_);_("$"* \(#,##0.00\);_("$"* "-"??_);_(@_)</c:formatCode>
                <c:ptCount val="15"/>
                <c:pt idx="0">
                  <c:v>8.4474530195900197</c:v>
                </c:pt>
                <c:pt idx="1">
                  <c:v>8.4474530195900197</c:v>
                </c:pt>
                <c:pt idx="2">
                  <c:v>8.4474530195900197</c:v>
                </c:pt>
                <c:pt idx="3">
                  <c:v>8.4474530195900197</c:v>
                </c:pt>
                <c:pt idx="4">
                  <c:v>8.4474530195900197</c:v>
                </c:pt>
                <c:pt idx="5">
                  <c:v>8.4474530195900197</c:v>
                </c:pt>
                <c:pt idx="6">
                  <c:v>7.8499951451081511</c:v>
                </c:pt>
                <c:pt idx="7">
                  <c:v>7.8206079351533599</c:v>
                </c:pt>
                <c:pt idx="8">
                  <c:v>7.8499953660565023</c:v>
                </c:pt>
                <c:pt idx="9">
                  <c:v>7.91419783726385</c:v>
                </c:pt>
                <c:pt idx="10">
                  <c:v>7.9375359954033611</c:v>
                </c:pt>
                <c:pt idx="11">
                  <c:v>8.0122680241808535</c:v>
                </c:pt>
                <c:pt idx="12">
                  <c:v>7.9594854623666738</c:v>
                </c:pt>
                <c:pt idx="13">
                  <c:v>8.1787663363692662</c:v>
                </c:pt>
                <c:pt idx="14">
                  <c:v>9.38319636440845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DD-468C-A59F-7E0221BD77D9}"/>
            </c:ext>
          </c:extLst>
        </c:ser>
        <c:ser>
          <c:idx val="2"/>
          <c:order val="2"/>
          <c:tx>
            <c:v>Segment 3</c:v>
          </c:tx>
          <c:invertIfNegative val="0"/>
          <c:cat>
            <c:strRef>
              <c:f>'Material and Cost Analysis'!$C$5:$C$19</c:f>
              <c:strCache>
                <c:ptCount val="15"/>
                <c:pt idx="0">
                  <c:v>Copper</c:v>
                </c:pt>
                <c:pt idx="1">
                  <c:v>Lead</c:v>
                </c:pt>
                <c:pt idx="2">
                  <c:v>Brass</c:v>
                </c:pt>
                <c:pt idx="3">
                  <c:v>Aluminum</c:v>
                </c:pt>
                <c:pt idx="4">
                  <c:v>PVC</c:v>
                </c:pt>
                <c:pt idx="5">
                  <c:v>Stainless steel</c:v>
                </c:pt>
                <c:pt idx="6">
                  <c:v>Commercial Steel</c:v>
                </c:pt>
                <c:pt idx="7">
                  <c:v>Drawn tubing</c:v>
                </c:pt>
                <c:pt idx="8">
                  <c:v>Wrought iron</c:v>
                </c:pt>
                <c:pt idx="9">
                  <c:v>Asphalted cast iron</c:v>
                </c:pt>
                <c:pt idx="10">
                  <c:v>Galvanized iron</c:v>
                </c:pt>
                <c:pt idx="11">
                  <c:v>Cast iron</c:v>
                </c:pt>
                <c:pt idx="12">
                  <c:v>Wood stove</c:v>
                </c:pt>
                <c:pt idx="13">
                  <c:v>Concrete</c:v>
                </c:pt>
                <c:pt idx="14">
                  <c:v>Riveted Steel</c:v>
                </c:pt>
              </c:strCache>
            </c:strRef>
          </c:cat>
          <c:val>
            <c:numRef>
              <c:f>'Material and Cost Analysis'!$E$35:$E$49</c:f>
              <c:numCache>
                <c:formatCode>_("$"* #,##0.00_);_("$"* \(#,##0.00\);_("$"* "-"??_);_(@_)</c:formatCode>
                <c:ptCount val="15"/>
                <c:pt idx="0">
                  <c:v>7.3907610497954446</c:v>
                </c:pt>
                <c:pt idx="1">
                  <c:v>7.3907610497954446</c:v>
                </c:pt>
                <c:pt idx="2">
                  <c:v>7.3907610497954446</c:v>
                </c:pt>
                <c:pt idx="3">
                  <c:v>7.3907610497954446</c:v>
                </c:pt>
                <c:pt idx="4">
                  <c:v>7.3907610497954446</c:v>
                </c:pt>
                <c:pt idx="5">
                  <c:v>7.3907610497954446</c:v>
                </c:pt>
                <c:pt idx="6">
                  <c:v>6.707567716185487</c:v>
                </c:pt>
                <c:pt idx="7">
                  <c:v>6.6530455294891366</c:v>
                </c:pt>
                <c:pt idx="8">
                  <c:v>6.7075675808043043</c:v>
                </c:pt>
                <c:pt idx="9">
                  <c:v>6.8066464212544853</c:v>
                </c:pt>
                <c:pt idx="10">
                  <c:v>6.8389659407725976</c:v>
                </c:pt>
                <c:pt idx="11">
                  <c:v>6.9350013687113972</c:v>
                </c:pt>
                <c:pt idx="12">
                  <c:v>6.8681988177867712</c:v>
                </c:pt>
                <c:pt idx="13">
                  <c:v>7.1253464703980391</c:v>
                </c:pt>
                <c:pt idx="14">
                  <c:v>7.809152429063265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DD-468C-A59F-7E0221BD7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605952"/>
        <c:axId val="166607488"/>
      </c:barChart>
      <c:catAx>
        <c:axId val="166605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6607488"/>
        <c:crosses val="autoZero"/>
        <c:auto val="1"/>
        <c:lblAlgn val="ctr"/>
        <c:lblOffset val="100"/>
        <c:noMultiLvlLbl val="0"/>
      </c:catAx>
      <c:valAx>
        <c:axId val="166607488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666059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EAOC!$D$12:$D$26</c:f>
              <c:strCache>
                <c:ptCount val="15"/>
                <c:pt idx="0">
                  <c:v>Copper</c:v>
                </c:pt>
                <c:pt idx="1">
                  <c:v>Lead</c:v>
                </c:pt>
                <c:pt idx="2">
                  <c:v>Brass</c:v>
                </c:pt>
                <c:pt idx="3">
                  <c:v>Aluminum</c:v>
                </c:pt>
                <c:pt idx="4">
                  <c:v>PVC</c:v>
                </c:pt>
                <c:pt idx="5">
                  <c:v>Stainless steel</c:v>
                </c:pt>
                <c:pt idx="6">
                  <c:v>Commercial Steel</c:v>
                </c:pt>
                <c:pt idx="7">
                  <c:v>Drawn tubing</c:v>
                </c:pt>
                <c:pt idx="8">
                  <c:v>Wrought iron</c:v>
                </c:pt>
                <c:pt idx="9">
                  <c:v>Asphalted cast iron</c:v>
                </c:pt>
                <c:pt idx="10">
                  <c:v>Galvanized iron</c:v>
                </c:pt>
                <c:pt idx="11">
                  <c:v>Cast iron</c:v>
                </c:pt>
                <c:pt idx="12">
                  <c:v>Wood stove</c:v>
                </c:pt>
                <c:pt idx="13">
                  <c:v>Concrete</c:v>
                </c:pt>
                <c:pt idx="14">
                  <c:v>Riveted Steel</c:v>
                </c:pt>
              </c:strCache>
            </c:strRef>
          </c:cat>
          <c:val>
            <c:numRef>
              <c:f>EAOC!$J$12:$J$26</c:f>
              <c:numCache>
                <c:formatCode>"$"#,##0.00_);\("$"#,##0.00\)</c:formatCode>
                <c:ptCount val="15"/>
                <c:pt idx="0">
                  <c:v>297.91000000000003</c:v>
                </c:pt>
                <c:pt idx="1">
                  <c:v>297.91000000000003</c:v>
                </c:pt>
                <c:pt idx="2">
                  <c:v>297.91000000000003</c:v>
                </c:pt>
                <c:pt idx="3">
                  <c:v>297.91000000000003</c:v>
                </c:pt>
                <c:pt idx="4">
                  <c:v>297.91000000000003</c:v>
                </c:pt>
                <c:pt idx="5">
                  <c:v>297.91000000000003</c:v>
                </c:pt>
                <c:pt idx="6">
                  <c:v>297.02</c:v>
                </c:pt>
                <c:pt idx="7">
                  <c:v>297</c:v>
                </c:pt>
                <c:pt idx="8">
                  <c:v>297.02</c:v>
                </c:pt>
                <c:pt idx="9">
                  <c:v>297.07</c:v>
                </c:pt>
                <c:pt idx="10">
                  <c:v>297.08999999999997</c:v>
                </c:pt>
                <c:pt idx="11">
                  <c:v>297.18</c:v>
                </c:pt>
                <c:pt idx="12">
                  <c:v>297.12</c:v>
                </c:pt>
                <c:pt idx="13">
                  <c:v>297.42</c:v>
                </c:pt>
                <c:pt idx="14">
                  <c:v>299.52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48-4291-8299-30C3A489B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664256"/>
        <c:axId val="167686528"/>
      </c:barChart>
      <c:catAx>
        <c:axId val="1676642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7686528"/>
        <c:crosses val="autoZero"/>
        <c:auto val="1"/>
        <c:lblAlgn val="ctr"/>
        <c:lblOffset val="100"/>
        <c:noMultiLvlLbl val="0"/>
      </c:catAx>
      <c:valAx>
        <c:axId val="167686528"/>
        <c:scaling>
          <c:orientation val="minMax"/>
        </c:scaling>
        <c:delete val="0"/>
        <c:axPos val="l"/>
        <c:majorGridlines/>
        <c:numFmt formatCode="&quot;$&quot;#,##0.00_);\(&quot;$&quot;#,##0.00\)" sourceLinked="1"/>
        <c:majorTickMark val="out"/>
        <c:minorTickMark val="none"/>
        <c:tickLblPos val="nextTo"/>
        <c:crossAx val="167664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68</xdr:row>
      <xdr:rowOff>14286</xdr:rowOff>
    </xdr:from>
    <xdr:to>
      <xdr:col>5</xdr:col>
      <xdr:colOff>47625</xdr:colOff>
      <xdr:row>83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495299</xdr:colOff>
      <xdr:row>68</xdr:row>
      <xdr:rowOff>23812</xdr:rowOff>
    </xdr:from>
    <xdr:to>
      <xdr:col>9</xdr:col>
      <xdr:colOff>781049</xdr:colOff>
      <xdr:row>83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361950</xdr:colOff>
          <xdr:row>9</xdr:row>
          <xdr:rowOff>180975</xdr:rowOff>
        </xdr:from>
        <xdr:to>
          <xdr:col>23</xdr:col>
          <xdr:colOff>285750</xdr:colOff>
          <xdr:row>11</xdr:row>
          <xdr:rowOff>152400</xdr:rowOff>
        </xdr:to>
        <xdr:sp macro="" textlink="">
          <xdr:nvSpPr>
            <xdr:cNvPr id="1026" name="Calculate_Friction_Facto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962025</xdr:colOff>
          <xdr:row>5</xdr:row>
          <xdr:rowOff>0</xdr:rowOff>
        </xdr:to>
        <xdr:sp macro="" textlink="">
          <xdr:nvSpPr>
            <xdr:cNvPr id="1052" name="Segment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2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219075</xdr:rowOff>
        </xdr:from>
        <xdr:to>
          <xdr:col>5</xdr:col>
          <xdr:colOff>1866900</xdr:colOff>
          <xdr:row>5</xdr:row>
          <xdr:rowOff>0</xdr:rowOff>
        </xdr:to>
        <xdr:sp macro="" textlink="">
          <xdr:nvSpPr>
            <xdr:cNvPr id="1056" name="Segment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219075</xdr:rowOff>
        </xdr:from>
        <xdr:to>
          <xdr:col>8</xdr:col>
          <xdr:colOff>1962150</xdr:colOff>
          <xdr:row>5</xdr:row>
          <xdr:rowOff>0</xdr:rowOff>
        </xdr:to>
        <xdr:sp macro="" textlink="">
          <xdr:nvSpPr>
            <xdr:cNvPr id="1057" name="Segment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19050</xdr:rowOff>
        </xdr:from>
        <xdr:to>
          <xdr:col>9</xdr:col>
          <xdr:colOff>342900</xdr:colOff>
          <xdr:row>3</xdr:row>
          <xdr:rowOff>0</xdr:rowOff>
        </xdr:to>
        <xdr:sp macro="" textlink="">
          <xdr:nvSpPr>
            <xdr:cNvPr id="1062" name="SolveAllSegments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185737</xdr:rowOff>
    </xdr:from>
    <xdr:to>
      <xdr:col>7</xdr:col>
      <xdr:colOff>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</xdr:row>
      <xdr:rowOff>14287</xdr:rowOff>
    </xdr:from>
    <xdr:to>
      <xdr:col>19</xdr:col>
      <xdr:colOff>0</xdr:colOff>
      <xdr:row>24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1</xdr:row>
      <xdr:rowOff>0</xdr:rowOff>
    </xdr:from>
    <xdr:to>
      <xdr:col>30</xdr:col>
      <xdr:colOff>0</xdr:colOff>
      <xdr:row>23</xdr:row>
      <xdr:rowOff>176213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11</xdr:col>
          <xdr:colOff>304800</xdr:colOff>
          <xdr:row>28</xdr:row>
          <xdr:rowOff>38100</xdr:rowOff>
        </xdr:to>
        <xdr:sp macro="" textlink="">
          <xdr:nvSpPr>
            <xdr:cNvPr id="2049" name="Solve_S_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9217" name="Analyze_Segment1_Material_Cost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9220" name="Analyze_Segment2_Material_Cost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10</xdr:col>
          <xdr:colOff>0</xdr:colOff>
          <xdr:row>14</xdr:row>
          <xdr:rowOff>9525</xdr:rowOff>
        </xdr:to>
        <xdr:sp macro="" textlink="">
          <xdr:nvSpPr>
            <xdr:cNvPr id="9221" name="Analyze_Segment3_Material_Cost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10</xdr:col>
          <xdr:colOff>0</xdr:colOff>
          <xdr:row>18</xdr:row>
          <xdr:rowOff>9525</xdr:rowOff>
        </xdr:to>
        <xdr:sp macro="" textlink="">
          <xdr:nvSpPr>
            <xdr:cNvPr id="9222" name="Analyze_All_Segments_Materia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4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247650</xdr:colOff>
      <xdr:row>3</xdr:row>
      <xdr:rowOff>33336</xdr:rowOff>
    </xdr:from>
    <xdr:to>
      <xdr:col>25</xdr:col>
      <xdr:colOff>114300</xdr:colOff>
      <xdr:row>31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13315" name="Pump_Sizing_FrictionFactor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571499</xdr:colOff>
      <xdr:row>3</xdr:row>
      <xdr:rowOff>157161</xdr:rowOff>
    </xdr:from>
    <xdr:to>
      <xdr:col>16</xdr:col>
      <xdr:colOff>685799</xdr:colOff>
      <xdr:row>27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17409" name="Pump_Co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gmen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gment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0000000}" name="Table21" displayName="Table21" ref="L4:N50" totalsRowShown="0" headerRowDxfId="275" dataDxfId="274">
  <autoFilter ref="L4:N50" xr:uid="{00000000-0009-0000-0100-000015000000}"/>
  <tableColumns count="3">
    <tableColumn id="1" xr3:uid="{00000000-0010-0000-0000-000001000000}" name="Nominal Size " dataDxfId="273"/>
    <tableColumn id="2" xr3:uid="{00000000-0010-0000-0000-000002000000}" name="Schedule" dataDxfId="272"/>
    <tableColumn id="3" xr3:uid="{00000000-0010-0000-0000-000003000000}" name="Inside Diameter (in)" dataDxfId="2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P4:R36" totalsRowShown="0" dataDxfId="270" tableBorderDxfId="269">
  <autoFilter ref="P4:R36" xr:uid="{00000000-0009-0000-0100-000002000000}"/>
  <tableColumns count="3">
    <tableColumn id="1" xr3:uid="{00000000-0010-0000-0100-000001000000}" name="Nominal Size " dataDxfId="268"/>
    <tableColumn id="2" xr3:uid="{00000000-0010-0000-0100-000002000000}" name="Schedule" dataDxfId="267"/>
    <tableColumn id="3" xr3:uid="{00000000-0010-0000-0100-000003000000}" name="Inside Diameter (in)" dataDxfId="26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2000000}" name="Table13" displayName="Table13" ref="AB4:AD20" totalsRowShown="0" headerRowDxfId="265" tableBorderDxfId="264">
  <autoFilter ref="AB4:AD20" xr:uid="{00000000-0009-0000-0100-00000D000000}"/>
  <tableColumns count="3">
    <tableColumn id="1" xr3:uid="{00000000-0010-0000-0200-000001000000}" name="Nominal Size "/>
    <tableColumn id="2" xr3:uid="{00000000-0010-0000-0200-000002000000}" name="Type" dataDxfId="263"/>
    <tableColumn id="3" xr3:uid="{00000000-0010-0000-0200-000003000000}" name="Inside Diameter (in)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3000000}" name="Table20" displayName="Table20" ref="X4:Z22" totalsRowShown="0" headerRowDxfId="262" tableBorderDxfId="261">
  <autoFilter ref="X4:Z22" xr:uid="{00000000-0009-0000-0100-000014000000}"/>
  <tableColumns count="3">
    <tableColumn id="1" xr3:uid="{00000000-0010-0000-0300-000001000000}" name="Nominal Size "/>
    <tableColumn id="2" xr3:uid="{00000000-0010-0000-0300-000002000000}" name="Type" dataDxfId="260"/>
    <tableColumn id="3" xr3:uid="{00000000-0010-0000-0300-000003000000}" name="Inside Diameter (in)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4000000}" name="Table22" displayName="Table22" ref="T4:V20" totalsRowShown="0" headerRowDxfId="259" tableBorderDxfId="258">
  <autoFilter ref="T4:V20" xr:uid="{00000000-0009-0000-0100-000016000000}"/>
  <tableColumns count="3">
    <tableColumn id="1" xr3:uid="{00000000-0010-0000-0400-000001000000}" name="Nominal Size " dataDxfId="257"/>
    <tableColumn id="2" xr3:uid="{00000000-0010-0000-0400-000002000000}" name="Schedule" dataDxfId="256"/>
    <tableColumn id="3" xr3:uid="{00000000-0010-0000-0400-000003000000}" name="Inside Diameter (in)" dataDxfId="25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5000000}" name="Table23" displayName="Table23" ref="T23:V37" totalsRowShown="0" headerRowDxfId="254" tableBorderDxfId="253">
  <autoFilter ref="T23:V37" xr:uid="{00000000-0009-0000-0100-000017000000}"/>
  <tableColumns count="3">
    <tableColumn id="1" xr3:uid="{00000000-0010-0000-0500-000001000000}" name="Nominal Size " dataDxfId="252"/>
    <tableColumn id="2" xr3:uid="{00000000-0010-0000-0500-000002000000}" name="Type" dataDxfId="251"/>
    <tableColumn id="3" xr3:uid="{00000000-0010-0000-0500-000003000000}" name="Inside Diameter (in)" dataDxfId="25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e24" displayName="Table24" ref="AF4:AH65" totalsRowShown="0" headerRowDxfId="249" tableBorderDxfId="248">
  <autoFilter ref="AF4:AH65" xr:uid="{00000000-0009-0000-0100-000018000000}"/>
  <tableColumns count="3">
    <tableColumn id="1" xr3:uid="{00000000-0010-0000-0600-000001000000}" name="Nominal Size "/>
    <tableColumn id="2" xr3:uid="{00000000-0010-0000-0600-000002000000}" name="Type" dataDxfId="247"/>
    <tableColumn id="3" xr3:uid="{00000000-0010-0000-0600-000003000000}" name="Inside Diameter (in)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7000000}" name="Table1" displayName="Table1" ref="L13:Y17" totalsRowShown="0" headerRowDxfId="246" headerRowBorderDxfId="245" tableBorderDxfId="244" totalsRowBorderDxfId="243">
  <autoFilter ref="L13:Y17" xr:uid="{00000000-0009-0000-0100-000001000000}"/>
  <tableColumns count="14">
    <tableColumn id="3" xr3:uid="{00000000-0010-0000-0700-000003000000}" name="Material" dataDxfId="242"/>
    <tableColumn id="1" xr3:uid="{00000000-0010-0000-0700-000001000000}" name="Diameter (in)" dataDxfId="241"/>
    <tableColumn id="2" xr3:uid="{00000000-0010-0000-0700-000002000000}" name="Diameter (m)" dataDxfId="240">
      <calculatedColumnFormula>CONVERT(M14,"in","m")</calculatedColumnFormula>
    </tableColumn>
    <tableColumn id="5" xr3:uid="{00000000-0010-0000-0700-000005000000}" name="Area (m2)" dataDxfId="239">
      <calculatedColumnFormula>(Table1[[#This Row],[Diameter (m)]]/2)^2*PI()</calculatedColumnFormula>
    </tableColumn>
    <tableColumn id="4" xr3:uid="{00000000-0010-0000-0700-000004000000}" name="Flow rate (l/s)" dataDxfId="238">
      <calculatedColumnFormula>$O$2*1000</calculatedColumnFormula>
    </tableColumn>
    <tableColumn id="6" xr3:uid="{00000000-0010-0000-0700-000006000000}" name="Velocity (m/s)" dataDxfId="237">
      <calculatedColumnFormula>$O$2/O14</calculatedColumnFormula>
    </tableColumn>
    <tableColumn id="9" xr3:uid="{00000000-0010-0000-0700-000009000000}" name="Reynold's " dataDxfId="236">
      <calculatedColumnFormula>(N14*Q14*$M$2)/$N$2</calculatedColumnFormula>
    </tableColumn>
    <tableColumn id="7" xr3:uid="{00000000-0010-0000-0700-000007000000}" name="Regime" dataDxfId="235">
      <calculatedColumnFormula>IF(Table1[[#This Row],[Reynold''s ]]&gt;4000,"TURBULENT",IF(Table1[[#This Row],[Reynold''s ]]&lt;=4000,"LAMINAR","-"))</calculatedColumnFormula>
    </tableColumn>
    <tableColumn id="10" xr3:uid="{00000000-0010-0000-0700-00000A000000}" name="ϵ" dataDxfId="234">
      <calculatedColumnFormula>INDEX(Data!$C$4:$C$18,MATCH(Table1[[#This Row],[Material]],Material,0))</calculatedColumnFormula>
    </tableColumn>
    <tableColumn id="12" xr3:uid="{00000000-0010-0000-0700-00000C000000}" name="ϵ/D" dataDxfId="233">
      <calculatedColumnFormula>Table1[[#This Row],[ϵ]]/Table1[[#This Row],[Diameter (m)]]</calculatedColumnFormula>
    </tableColumn>
    <tableColumn id="8" xr3:uid="{00000000-0010-0000-0700-000008000000}" name="flam" dataDxfId="232">
      <calculatedColumnFormula>IF(Table1[[#This Row],[Regime]]="LAMINAR",16/Table1[[#This Row],[Reynold''s ]],"N/A")</calculatedColumnFormula>
    </tableColumn>
    <tableColumn id="11" xr3:uid="{00000000-0010-0000-0700-00000B000000}" name="ftur (guess)" dataDxfId="231"/>
    <tableColumn id="13" xr3:uid="{00000000-0010-0000-0700-00000D000000}" name="ftur" dataDxfId="230">
      <calculatedColumnFormula>IF(Table1[[#This Row],[Regime]]="TURBULENT",(((-4*LOG10(Table1[[#This Row],[ϵ/D]]/3.7+1.256/(Table1[[#This Row],[Reynold''s ]]*SQRT(Table1[[#This Row],[ftur (guess)]]))))^-1)^2),"N/A")</calculatedColumnFormula>
    </tableColumn>
    <tableColumn id="14" xr3:uid="{00000000-0010-0000-0700-00000E000000}" name="delta f" dataDxfId="229">
      <calculatedColumnFormula>Table1[[#This Row],[ftur (guess)]]-Table1[[#This Row],[ftur]]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e5" displayName="Table5" ref="L19:Q22" totalsRowShown="0" headerRowDxfId="228" headerRowBorderDxfId="227" tableBorderDxfId="226" totalsRowBorderDxfId="225">
  <autoFilter ref="L19:Q22" xr:uid="{00000000-0009-0000-0100-000005000000}"/>
  <tableColumns count="6">
    <tableColumn id="1" xr3:uid="{00000000-0010-0000-0800-000001000000}" name="Diameter" dataDxfId="224">
      <calculatedColumnFormula>M14</calculatedColumnFormula>
    </tableColumn>
    <tableColumn id="2" xr3:uid="{00000000-0010-0000-0800-000002000000}" name="Diameter (m)" dataDxfId="223">
      <calculatedColumnFormula>N14</calculatedColumnFormula>
    </tableColumn>
    <tableColumn id="3" xr3:uid="{00000000-0010-0000-0800-000003000000}" name="Length (m)" dataDxfId="222"/>
    <tableColumn id="4" xr3:uid="{00000000-0010-0000-0800-000004000000}" name="Velocity" dataDxfId="221">
      <calculatedColumnFormula>Q14</calculatedColumnFormula>
    </tableColumn>
    <tableColumn id="5" xr3:uid="{00000000-0010-0000-0800-000005000000}" name="f " dataDxfId="220">
      <calculatedColumnFormula>IF(S14="TURBULENT",X14,V14)</calculatedColumnFormula>
    </tableColumn>
    <tableColumn id="6" xr3:uid="{00000000-0010-0000-0800-000006000000}" name="Hf (J/kg)" dataDxfId="219">
      <calculatedColumnFormula>4*Table5[[#This Row],[f ]]*Table5[[#This Row],[Length (m)]]/Table5[[#This Row],[Diameter (m)]]*((Table5[[#This Row],[Velocity]]^2)/2)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e6" displayName="Table6" ref="L1:R2" totalsRowShown="0" headerRowDxfId="218" headerRowBorderDxfId="217" tableBorderDxfId="216" totalsRowBorderDxfId="215">
  <autoFilter ref="L1:R2" xr:uid="{00000000-0009-0000-0100-000006000000}"/>
  <tableColumns count="7">
    <tableColumn id="1" xr3:uid="{00000000-0010-0000-0900-000001000000}" name="Flow Name" dataDxfId="214"/>
    <tableColumn id="2" xr3:uid="{00000000-0010-0000-0900-000002000000}" name="Density (kg/m3)" dataDxfId="213"/>
    <tableColumn id="3" xr3:uid="{00000000-0010-0000-0900-000003000000}" name="Viscosity (Pa*s)" dataDxfId="212"/>
    <tableColumn id="4" xr3:uid="{00000000-0010-0000-0900-000004000000}" name="Volumetric flow (m3/s)" dataDxfId="211">
      <calculatedColumnFormula>1.096/1000*1.35</calculatedColumnFormula>
    </tableColumn>
    <tableColumn id="5" xr3:uid="{00000000-0010-0000-0900-000005000000}" name="Mass flow (kg/s)" dataDxfId="210">
      <calculatedColumnFormula>O2*M2</calculatedColumnFormula>
    </tableColumn>
    <tableColumn id="6" xr3:uid="{00000000-0010-0000-0900-000006000000}" name="IPA mass %" dataDxfId="209"/>
    <tableColumn id="7" xr3:uid="{00000000-0010-0000-0900-000007000000}" name="Water mass %" dataDxfId="208">
      <calculatedColumnFormula>1-Q2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Table7" displayName="Table7" ref="S19:Y22" totalsRowShown="0" headerRowDxfId="207">
  <autoFilter ref="S19:Y22" xr:uid="{00000000-0009-0000-0100-000007000000}"/>
  <tableColumns count="7">
    <tableColumn id="1" xr3:uid="{00000000-0010-0000-0A00-000001000000}" name="Diameter (in)" dataDxfId="206">
      <calculatedColumnFormula>M14</calculatedColumnFormula>
    </tableColumn>
    <tableColumn id="2" xr3:uid="{00000000-0010-0000-0A00-000002000000}" name="Fittings" dataDxfId="205"/>
    <tableColumn id="3" xr3:uid="{00000000-0010-0000-0A00-000003000000}" name="Type" dataDxfId="204"/>
    <tableColumn id="4" xr3:uid="{00000000-0010-0000-0A00-000004000000}" name="# of fittings" dataDxfId="203"/>
    <tableColumn id="5" xr3:uid="{00000000-0010-0000-0A00-000005000000}" name="Kf" dataDxfId="202">
      <calculatedColumnFormula array="1">INDEX(Data!$G$4:$G$51,MATCH(Table7[[#This Row],[Fittings]]&amp;Table7[[#This Row],[Type]],Fittings&amp;Data!$F$4:$F$51,0))</calculatedColumnFormula>
    </tableColumn>
    <tableColumn id="6" xr3:uid="{00000000-0010-0000-0A00-000006000000}" name="Velocity (m/s)" dataDxfId="201">
      <calculatedColumnFormula>Q14</calculatedColumnFormula>
    </tableColumn>
    <tableColumn id="7" xr3:uid="{00000000-0010-0000-0A00-000007000000}" name="Hf (J/kg)" dataDxfId="200">
      <calculatedColumnFormula>(Table7[[#This Row],[Velocity (m/s)]]^2)/2*Table7[[#This Row],[Kf]]*Table7[[#This Row],['# of fittings]]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B000000}" name="Table8" displayName="Table8" ref="L25:Q28" totalsRowShown="0" headerRowDxfId="199">
  <autoFilter ref="L25:Q28" xr:uid="{00000000-0009-0000-0100-000008000000}"/>
  <tableColumns count="6">
    <tableColumn id="1" xr3:uid="{00000000-0010-0000-0B00-000001000000}" name="Segment" dataDxfId="198"/>
    <tableColumn id="2" xr3:uid="{00000000-0010-0000-0B00-000002000000}" name="Diameter (in)" dataDxfId="197">
      <calculatedColumnFormula>M14</calculatedColumnFormula>
    </tableColumn>
    <tableColumn id="3" xr3:uid="{00000000-0010-0000-0B00-000003000000}" name="Diameter (m)" dataDxfId="196">
      <calculatedColumnFormula>N14</calculatedColumnFormula>
    </tableColumn>
    <tableColumn id="4" xr3:uid="{00000000-0010-0000-0B00-000004000000}" name="Kc" dataDxfId="195"/>
    <tableColumn id="5" xr3:uid="{00000000-0010-0000-0B00-000005000000}" name="Velocity (m/s)" dataDxfId="194">
      <calculatedColumnFormula>Q14</calculatedColumnFormula>
    </tableColumn>
    <tableColumn id="6" xr3:uid="{00000000-0010-0000-0B00-000006000000}" name="Hc (J/kg)" dataDxfId="193">
      <calculatedColumnFormula>IF(Table8[[#This Row],[Velocity (m/s)]]="N/A",0,(Table8[[#This Row],[Velocity (m/s)]]^2)/2*Table8[[#This Row],[Kc]])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C000000}" name="Table810" displayName="Table810" ref="S25:X28" totalsRowShown="0" headerRowDxfId="192">
  <autoFilter ref="S25:X28" xr:uid="{00000000-0009-0000-0100-000009000000}"/>
  <tableColumns count="6">
    <tableColumn id="1" xr3:uid="{00000000-0010-0000-0C00-000001000000}" name="Segment" dataDxfId="191"/>
    <tableColumn id="2" xr3:uid="{00000000-0010-0000-0C00-000002000000}" name="Diameter (in)" dataDxfId="190">
      <calculatedColumnFormula>M14</calculatedColumnFormula>
    </tableColumn>
    <tableColumn id="3" xr3:uid="{00000000-0010-0000-0C00-000003000000}" name="Diameter (m)" dataDxfId="189">
      <calculatedColumnFormula>M20</calculatedColumnFormula>
    </tableColumn>
    <tableColumn id="4" xr3:uid="{00000000-0010-0000-0C00-000004000000}" name="Ke" dataDxfId="188"/>
    <tableColumn id="5" xr3:uid="{00000000-0010-0000-0C00-000005000000}" name="Velocity (m/s)" dataDxfId="187">
      <calculatedColumnFormula>P20</calculatedColumnFormula>
    </tableColumn>
    <tableColumn id="6" xr3:uid="{00000000-0010-0000-0C00-000006000000}" name="Hc (J/kg)" dataDxfId="186">
      <calculatedColumnFormula>IF(Table810[[#This Row],[Velocity (m/s)]]="N/A",0,(Table810[[#This Row],[Velocity (m/s)]]^2)/2*Table810[[#This Row],[Ke]])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14" displayName="Table14" ref="L6:M12" totalsRowShown="0" headerRowDxfId="185" headerRowBorderDxfId="184" tableBorderDxfId="183">
  <autoFilter ref="L6:M12" xr:uid="{00000000-0009-0000-0100-00000E000000}"/>
  <tableColumns count="2">
    <tableColumn id="1" xr3:uid="{00000000-0010-0000-0D00-000001000000}" name="Segment" dataDxfId="182"/>
    <tableColumn id="2" xr3:uid="{00000000-0010-0000-0D00-000002000000}" name="∑F (J/kg)" dataDxfId="181">
      <calculatedColumnFormula>Q20+Y20+Q26+X26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15" displayName="Table15" ref="L32:S35" totalsRowShown="0" headerRowDxfId="180" headerRowBorderDxfId="179" tableBorderDxfId="178" totalsRowBorderDxfId="177">
  <autoFilter ref="L32:S35" xr:uid="{00000000-0009-0000-0100-00000F000000}"/>
  <tableColumns count="8">
    <tableColumn id="1" xr3:uid="{00000000-0010-0000-0E00-000001000000}" name="Segment" dataDxfId="176"/>
    <tableColumn id="2" xr3:uid="{00000000-0010-0000-0E00-000002000000}" name="D1 (m)" dataDxfId="175">
      <calculatedColumnFormula>N26</calculatedColumnFormula>
    </tableColumn>
    <tableColumn id="3" xr3:uid="{00000000-0010-0000-0E00-000003000000}" name="D2 (m)" dataDxfId="174">
      <calculatedColumnFormula>Table15[[#This Row],[D1 (m)]]</calculatedColumnFormula>
    </tableColumn>
    <tableColumn id="4" xr3:uid="{00000000-0010-0000-0E00-000004000000}" name="V1 (m/s)" dataDxfId="173">
      <calculatedColumnFormula>Q14</calculatedColumnFormula>
    </tableColumn>
    <tableColumn id="5" xr3:uid="{00000000-0010-0000-0E00-000005000000}" name="V2 (m/s)" dataDxfId="172">
      <calculatedColumnFormula>Table15[[#This Row],[V1 (m/s)]]</calculatedColumnFormula>
    </tableColumn>
    <tableColumn id="6" xr3:uid="{00000000-0010-0000-0E00-000006000000}" name="Re1" dataDxfId="171">
      <calculatedColumnFormula>R14</calculatedColumnFormula>
    </tableColumn>
    <tableColumn id="7" xr3:uid="{00000000-0010-0000-0E00-000007000000}" name="Re2" dataDxfId="170">
      <calculatedColumnFormula>Table15[[#This Row],[Re1]]</calculatedColumnFormula>
    </tableColumn>
    <tableColumn id="8" xr3:uid="{00000000-0010-0000-0E00-000008000000}" name="Hv (J/kg)" dataDxfId="169">
      <calculatedColumnFormula>(Table15[[#This Row],[V1 (m/s)]]^2-Table15[[#This Row],[V2 (m/s)]]^2)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16" displayName="Table16" ref="L38:O41" totalsRowShown="0" headerRowDxfId="168" headerRowBorderDxfId="167" tableBorderDxfId="166" totalsRowBorderDxfId="165">
  <autoFilter ref="L38:O41" xr:uid="{00000000-0009-0000-0100-000010000000}"/>
  <tableColumns count="4">
    <tableColumn id="1" xr3:uid="{00000000-0010-0000-0F00-000001000000}" name="Segment" dataDxfId="164"/>
    <tableColumn id="2" xr3:uid="{00000000-0010-0000-0F00-000002000000}" name="Z1 (m)" dataDxfId="163">
      <calculatedColumnFormula>'P 401 A-B Sizing'!B40</calculatedColumnFormula>
    </tableColumn>
    <tableColumn id="3" xr3:uid="{00000000-0010-0000-0F00-000003000000}" name="Z2 (m)" dataDxfId="162">
      <calculatedColumnFormula>'P 401 A-B Sizing'!C40</calculatedColumnFormula>
    </tableColumn>
    <tableColumn id="4" xr3:uid="{00000000-0010-0000-0F00-000004000000}" name="Hh (J/kg)" dataDxfId="161">
      <calculatedColumnFormula>(Table16[[#This Row],[Z2 (m)]]-Table16[[#This Row],[Z1 (m)]])*9.807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17" displayName="Table17" ref="L44:O47" totalsRowShown="0" headerRowDxfId="160" headerRowBorderDxfId="159" tableBorderDxfId="158" totalsRowBorderDxfId="157">
  <autoFilter ref="L44:O47" xr:uid="{00000000-0009-0000-0100-000011000000}"/>
  <tableColumns count="4">
    <tableColumn id="1" xr3:uid="{00000000-0010-0000-1000-000001000000}" name="Segment" dataDxfId="156"/>
    <tableColumn id="2" xr3:uid="{00000000-0010-0000-1000-000002000000}" name="P1 (kPa)" dataDxfId="155">
      <calculatedColumnFormula>'P 401 A-B Sizing'!B46</calculatedColumnFormula>
    </tableColumn>
    <tableColumn id="3" xr3:uid="{00000000-0010-0000-1000-000003000000}" name="P2 (kPa)" dataDxfId="154">
      <calculatedColumnFormula>'P 401 A-B Sizing'!C46</calculatedColumnFormula>
    </tableColumn>
    <tableColumn id="4" xr3:uid="{00000000-0010-0000-1000-000004000000}" name="Hp (J/kg)" dataDxfId="153">
      <calculatedColumnFormula>(Table17[[#This Row],[P1 (kPa)]]-Table17[[#This Row],[P2 (kPa)]])/Table6[Density (kg/m3)]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Table19" displayName="Table19" ref="B1:G5" totalsRowShown="0" headerRowDxfId="152" headerRowBorderDxfId="151" tableBorderDxfId="150" totalsRowBorderDxfId="149">
  <autoFilter ref="B1:G5" xr:uid="{00000000-0009-0000-0100-000013000000}"/>
  <tableColumns count="6">
    <tableColumn id="1" xr3:uid="{00000000-0010-0000-1100-000001000000}" name="Segment" dataDxfId="148"/>
    <tableColumn id="2" xr3:uid="{00000000-0010-0000-1100-000002000000}" name="Pressure In (kPa)" dataDxfId="147">
      <calculatedColumnFormula>Y26</calculatedColumnFormula>
    </tableColumn>
    <tableColumn id="3" xr3:uid="{00000000-0010-0000-1100-000003000000}" name="Pressure change in pipe (kPa)" dataDxfId="146">
      <calculatedColumnFormula>(M7*Table6[Density (kg/m3)])/1000</calculatedColumnFormula>
    </tableColumn>
    <tableColumn id="4" xr3:uid="{00000000-0010-0000-1100-000004000000}" name="Pressure out (kPA)" dataDxfId="145">
      <calculatedColumnFormula>O45</calculatedColumnFormula>
    </tableColumn>
    <tableColumn id="5" xr3:uid="{00000000-0010-0000-1100-000005000000}" name="Objective Pressure (kPa)" dataDxfId="144"/>
    <tableColumn id="6" xr3:uid="{00000000-0010-0000-1100-000006000000}" name="Difference" dataDxfId="143">
      <calculatedColumnFormula>Table19[[#This Row],[Pressure out (kPA)]]-Table19[[#This Row],[Objective Pressure (kPa)]]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2000000}" name="Table12" displayName="Table12" ref="B9:J91" totalsRowShown="0" headerRowDxfId="142" headerRowBorderDxfId="141" tableBorderDxfId="140" totalsRowBorderDxfId="139">
  <autoFilter ref="B9:J91" xr:uid="{00000000-0009-0000-0100-00000C000000}"/>
  <tableColumns count="9">
    <tableColumn id="1" xr3:uid="{00000000-0010-0000-1200-000001000000}" name="Diameter 1 (in)" dataDxfId="138"/>
    <tableColumn id="2" xr3:uid="{00000000-0010-0000-1200-000002000000}" name="Pressure Out 1 (kPa)" dataDxfId="137"/>
    <tableColumn id="3" xr3:uid="{00000000-0010-0000-1200-000003000000}" name="Difference 1" dataDxfId="136">
      <calculatedColumnFormula>IF('Segment 1'!$C10=0,"-",'Segment 1'!$C10-$F$2)</calculatedColumnFormula>
    </tableColumn>
    <tableColumn id="4" xr3:uid="{00000000-0010-0000-1200-000004000000}" name="Diameter 2 (in)" dataDxfId="135"/>
    <tableColumn id="5" xr3:uid="{00000000-0010-0000-1200-000005000000}" name="Pressure Out 2 (kPa)" dataDxfId="134"/>
    <tableColumn id="6" xr3:uid="{00000000-0010-0000-1200-000006000000}" name="Difference2" dataDxfId="133">
      <calculatedColumnFormula>IF('Segment 1'!$F10=0,"-",'Segment 1'!$F10-$F$3)</calculatedColumnFormula>
    </tableColumn>
    <tableColumn id="7" xr3:uid="{00000000-0010-0000-1200-000007000000}" name="Diameter 3 (in)" dataDxfId="132"/>
    <tableColumn id="8" xr3:uid="{00000000-0010-0000-1200-000008000000}" name="Pressure Out 3 (kPa)" dataDxfId="131"/>
    <tableColumn id="9" xr3:uid="{00000000-0010-0000-1200-000009000000}" name="Difference3" dataDxfId="130">
      <calculatedColumnFormula>IF('Segment 1'!$I10=0,"-",'Segment 1'!$I10-$F$4)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3000000}" name="Table11" displayName="Table11" ref="B4:E49" totalsRowShown="0" headerRowDxfId="129" headerRowBorderDxfId="128" tableBorderDxfId="127" totalsRowBorderDxfId="126">
  <autoFilter ref="B4:E49" xr:uid="{00000000-0009-0000-0100-00000B000000}"/>
  <tableColumns count="4">
    <tableColumn id="1" xr3:uid="{00000000-0010-0000-1300-000001000000}" name="Segment" dataDxfId="125"/>
    <tableColumn id="2" xr3:uid="{00000000-0010-0000-1300-000002000000}" name="Material" dataDxfId="124"/>
    <tableColumn id="3" xr3:uid="{00000000-0010-0000-1300-000003000000}" name="Ideal Diameter" dataDxfId="123"/>
    <tableColumn id="4" xr3:uid="{00000000-0010-0000-1300-000004000000}" name="Cost/m ($/m)" dataDxfId="122" dataCellStyle="Currency">
      <calculatedColumnFormula>Table11[[#This Row],[Ideal Diameter]]*5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4000000}" name="Table4" displayName="Table4" ref="L35:N39" totalsRowShown="0" headerRowDxfId="121" dataDxfId="120" tableBorderDxfId="119">
  <autoFilter ref="L35:N39" xr:uid="{00000000-0009-0000-0100-000004000000}"/>
  <tableColumns count="3">
    <tableColumn id="1" xr3:uid="{00000000-0010-0000-1400-000001000000}" name="Segment" dataDxfId="118"/>
    <tableColumn id="2" xr3:uid="{00000000-0010-0000-1400-000002000000}" name="Ideal Inside Diameter (in)" dataDxfId="117"/>
    <tableColumn id="3" xr3:uid="{00000000-0010-0000-1400-000003000000}" name="Material" dataDxfId="11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5000000}" name="Table10" displayName="Table10" ref="O35:T39" totalsRowCount="1" dataDxfId="114" headerRowBorderDxfId="115" tableBorderDxfId="113" totalsRowBorderDxfId="112">
  <autoFilter ref="O35:T38" xr:uid="{00000000-0009-0000-0100-00000A000000}"/>
  <tableColumns count="6">
    <tableColumn id="1" xr3:uid="{00000000-0010-0000-1500-000001000000}" name="Inside Pipe Diameter (in)" dataDxfId="111" totalsRowDxfId="110"/>
    <tableColumn id="2" xr3:uid="{00000000-0010-0000-1500-000002000000}" name="Nominal Pipe Diameter (in)" dataDxfId="109" totalsRowDxfId="108">
      <calculatedColumnFormula array="1">INDEX(Data!$L$5:$L$50,MATCH('Material and Cost Analysis'!O36,Data!$N$5:$N$50,0))</calculatedColumnFormula>
    </tableColumn>
    <tableColumn id="3" xr3:uid="{00000000-0010-0000-1500-000003000000}" name="Schedule" dataDxfId="107" totalsRowDxfId="106">
      <calculatedColumnFormula array="1">IF(OR(Table4[[#This Row],[Material]]="COPPER",Table4[[#This Row],[Material]]="DRAWN TUBING"), "-",INDEX(Table21[Schedule],MATCH(Table10[[#This Row],[Inside Pipe Diameter (in)]],Table21[Inside Diameter (in)],0)))</calculatedColumnFormula>
    </tableColumn>
    <tableColumn id="5" xr3:uid="{00000000-0010-0000-1500-000005000000}" name="$/meter length" dataDxfId="105" totalsRowDxfId="104">
      <calculatedColumnFormula>5*Table10[[#This Row],[Nominal Pipe Diameter (in)]]</calculatedColumnFormula>
    </tableColumn>
    <tableColumn id="6" xr3:uid="{00000000-0010-0000-1500-000006000000}" name="Length (m)" dataDxfId="103" totalsRowDxfId="102"/>
    <tableColumn id="7" xr3:uid="{00000000-0010-0000-1500-000007000000}" name="Total Cost $" totalsRowFunction="sum" dataDxfId="101" totalsRowDxfId="100" dataCellStyle="Currency">
      <calculatedColumnFormula>Table10[[#This Row],[Length (m)]]*Table10[[#This Row],[$/meter length]]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6000000}" name="Table527" displayName="Table527" ref="A20:F24" totalsRowShown="0" headerRowDxfId="99" headerRowBorderDxfId="98" tableBorderDxfId="97" totalsRowBorderDxfId="96">
  <autoFilter ref="A20:F24" xr:uid="{00000000-0009-0000-0100-00001A000000}"/>
  <tableColumns count="6">
    <tableColumn id="1" xr3:uid="{00000000-0010-0000-1600-000001000000}" name="Segment" dataDxfId="95">
      <calculatedColumnFormula>C15</calculatedColumnFormula>
    </tableColumn>
    <tableColumn id="2" xr3:uid="{00000000-0010-0000-1600-000002000000}" name="Diameter (m)" dataDxfId="94">
      <calculatedColumnFormula>D15</calculatedColumnFormula>
    </tableColumn>
    <tableColumn id="3" xr3:uid="{00000000-0010-0000-1600-000003000000}" name="Length (m)"/>
    <tableColumn id="4" xr3:uid="{00000000-0010-0000-1600-000004000000}" name="Velocity">
      <calculatedColumnFormula>G15</calculatedColumnFormula>
    </tableColumn>
    <tableColumn id="5" xr3:uid="{00000000-0010-0000-1600-000005000000}" name="f " dataDxfId="93">
      <calculatedColumnFormula>IF(I15="TURBULENT",N15,L15)</calculatedColumnFormula>
    </tableColumn>
    <tableColumn id="6" xr3:uid="{00000000-0010-0000-1600-000006000000}" name="Hf (J/kg)" dataDxfId="92">
      <calculatedColumnFormula>4*Table527[[#This Row],[f ]]*Table527[[#This Row],[Length (m)]]/Table527[[#This Row],[Diameter (m)]]*((Table527[[#This Row],[Velocity]]^2)/2)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7000000}" name="Table628" displayName="Table628" ref="A2:G3" totalsRowShown="0" headerRowDxfId="91" headerRowBorderDxfId="90" tableBorderDxfId="89" totalsRowBorderDxfId="88">
  <autoFilter ref="A2:G3" xr:uid="{00000000-0009-0000-0100-00001B000000}"/>
  <tableColumns count="7">
    <tableColumn id="1" xr3:uid="{00000000-0010-0000-1700-000001000000}" name="Column2" dataDxfId="87"/>
    <tableColumn id="2" xr3:uid="{00000000-0010-0000-1700-000002000000}" name="Density (kg/m3)" dataDxfId="86"/>
    <tableColumn id="3" xr3:uid="{00000000-0010-0000-1700-000003000000}" name="Viscosity (Pa*s)" dataDxfId="85"/>
    <tableColumn id="4" xr3:uid="{00000000-0010-0000-1700-000004000000}" name="Volumetric flow (m3/s)" dataDxfId="84"/>
    <tableColumn id="5" xr3:uid="{00000000-0010-0000-1700-000005000000}" name="Mass flow (kg/s)" dataDxfId="83">
      <calculatedColumnFormula>D3*B3</calculatedColumnFormula>
    </tableColumn>
    <tableColumn id="6" xr3:uid="{00000000-0010-0000-1700-000006000000}" name="IPA mass %" dataDxfId="82"/>
    <tableColumn id="7" xr3:uid="{00000000-0010-0000-1700-000007000000}" name="Water mass %" dataDxfId="81">
      <calculatedColumnFormula>1-F3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8000000}" name="Table729" displayName="Table729" ref="H20:N23" totalsRowShown="0" headerRowDxfId="80">
  <autoFilter ref="H20:N23" xr:uid="{00000000-0009-0000-0100-00001C000000}"/>
  <tableColumns count="7">
    <tableColumn id="1" xr3:uid="{00000000-0010-0000-1800-000001000000}" name="Diameter (in)">
      <calculatedColumnFormula>C15</calculatedColumnFormula>
    </tableColumn>
    <tableColumn id="2" xr3:uid="{00000000-0010-0000-1800-000002000000}" name="Fittings">
      <calculatedColumnFormula>'Segment 1'!T20</calculatedColumnFormula>
    </tableColumn>
    <tableColumn id="3" xr3:uid="{00000000-0010-0000-1800-000003000000}" name="Type">
      <calculatedColumnFormula>'Segment 1'!U20</calculatedColumnFormula>
    </tableColumn>
    <tableColumn id="4" xr3:uid="{00000000-0010-0000-1800-000004000000}" name="# of fittings">
      <calculatedColumnFormula>'Segment 1'!V20</calculatedColumnFormula>
    </tableColumn>
    <tableColumn id="5" xr3:uid="{00000000-0010-0000-1800-000005000000}" name="Kf" dataDxfId="79">
      <calculatedColumnFormula array="1">INDEX(Data!$G$4:$G$51,MATCH(Table729[[#This Row],[Fittings]]&amp;Table729[[#This Row],[Type]],Fittings&amp;Data!$F$4:$F$51,0))</calculatedColumnFormula>
    </tableColumn>
    <tableColumn id="6" xr3:uid="{00000000-0010-0000-1800-000006000000}" name="Velocity (m/s)" dataDxfId="78">
      <calculatedColumnFormula>G15</calculatedColumnFormula>
    </tableColumn>
    <tableColumn id="7" xr3:uid="{00000000-0010-0000-1800-000007000000}" name="Hf (J/kg)" dataDxfId="77">
      <calculatedColumnFormula>((Table729[[#This Row],[Velocity (m/s)]]^2)/2)*Table729[[#This Row],[Kf]]*Table729[[#This Row],['# of fittings]]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9000000}" name="Table830" displayName="Table830" ref="A26:F29" totalsRowShown="0" headerRowDxfId="76">
  <autoFilter ref="A26:F29" xr:uid="{00000000-0009-0000-0100-00001D000000}"/>
  <tableColumns count="6">
    <tableColumn id="1" xr3:uid="{00000000-0010-0000-1900-000001000000}" name="Segment"/>
    <tableColumn id="2" xr3:uid="{00000000-0010-0000-1900-000002000000}" name="Diameter (in)" dataDxfId="75">
      <calculatedColumnFormula>C15</calculatedColumnFormula>
    </tableColumn>
    <tableColumn id="3" xr3:uid="{00000000-0010-0000-1900-000003000000}" name="Diameter (m)" dataDxfId="74">
      <calculatedColumnFormula>D15</calculatedColumnFormula>
    </tableColumn>
    <tableColumn id="4" xr3:uid="{00000000-0010-0000-1900-000004000000}" name="Kc"/>
    <tableColumn id="5" xr3:uid="{00000000-0010-0000-1900-000005000000}" name="Velocity (m/s)" dataDxfId="73">
      <calculatedColumnFormula>G15</calculatedColumnFormula>
    </tableColumn>
    <tableColumn id="6" xr3:uid="{00000000-0010-0000-1900-000006000000}" name="Hc (J/kg)" dataDxfId="72">
      <calculatedColumnFormula>IF(Table830[[#This Row],[Velocity (m/s)]]="N/A",0,(Table830[[#This Row],[Velocity (m/s)]]^2)/2*Table830[[#This Row],[Kc]])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A000000}" name="Table81031" displayName="Table81031" ref="H26:M29" totalsRowShown="0" headerRowDxfId="71">
  <autoFilter ref="H26:M29" xr:uid="{00000000-0009-0000-0100-00001E000000}"/>
  <tableColumns count="6">
    <tableColumn id="1" xr3:uid="{00000000-0010-0000-1A00-000001000000}" name="Segment"/>
    <tableColumn id="2" xr3:uid="{00000000-0010-0000-1A00-000002000000}" name="Diameter (in)" dataDxfId="70">
      <calculatedColumnFormula>A21</calculatedColumnFormula>
    </tableColumn>
    <tableColumn id="3" xr3:uid="{00000000-0010-0000-1A00-000003000000}" name="Diameter (m)" dataDxfId="69">
      <calculatedColumnFormula>B21</calculatedColumnFormula>
    </tableColumn>
    <tableColumn id="4" xr3:uid="{00000000-0010-0000-1A00-000004000000}" name="Ke"/>
    <tableColumn id="5" xr3:uid="{00000000-0010-0000-1A00-000005000000}" name="Velocity (m/s)" dataDxfId="68">
      <calculatedColumnFormula>E21</calculatedColumnFormula>
    </tableColumn>
    <tableColumn id="6" xr3:uid="{00000000-0010-0000-1A00-000006000000}" name="Hc (J/kg)" dataDxfId="67">
      <calculatedColumnFormula>IF(Table81031[[#This Row],[Velocity (m/s)]]="N/A",0,(Table81031[[#This Row],[Velocity (m/s)]]^2)/2*Table81031[[#This Row],[Ke]])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B000000}" name="Table1432" displayName="Table1432" ref="A7:B13" totalsRowShown="0" headerRowDxfId="66" headerRowBorderDxfId="65" tableBorderDxfId="64">
  <autoFilter ref="A7:B13" xr:uid="{00000000-0009-0000-0100-00001F000000}"/>
  <tableColumns count="2">
    <tableColumn id="1" xr3:uid="{00000000-0010-0000-1B00-000001000000}" name="Segment"/>
    <tableColumn id="2" xr3:uid="{00000000-0010-0000-1B00-000002000000}" name="∑F (J/kg)" dataDxfId="63">
      <calculatedColumnFormula>F21+N21+F27+M27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C000000}" name="Table1533" displayName="Table1533" ref="A33:H36" totalsRowShown="0" headerRowDxfId="62" headerRowBorderDxfId="61" tableBorderDxfId="60" totalsRowBorderDxfId="59">
  <autoFilter ref="A33:H36" xr:uid="{00000000-0009-0000-0100-000020000000}"/>
  <tableColumns count="8">
    <tableColumn id="1" xr3:uid="{00000000-0010-0000-1C00-000001000000}" name="Segment" dataDxfId="58"/>
    <tableColumn id="2" xr3:uid="{00000000-0010-0000-1C00-000002000000}" name="D1 (m)" dataDxfId="57">
      <calculatedColumnFormula>C27</calculatedColumnFormula>
    </tableColumn>
    <tableColumn id="3" xr3:uid="{00000000-0010-0000-1C00-000003000000}" name="D2 (m)" dataDxfId="56">
      <calculatedColumnFormula>Table1533[[#This Row],[D1 (m)]]</calculatedColumnFormula>
    </tableColumn>
    <tableColumn id="4" xr3:uid="{00000000-0010-0000-1C00-000004000000}" name="V1 (m/s)" dataDxfId="55">
      <calculatedColumnFormula>G15</calculatedColumnFormula>
    </tableColumn>
    <tableColumn id="5" xr3:uid="{00000000-0010-0000-1C00-000005000000}" name="V2 (m/s)" dataDxfId="54">
      <calculatedColumnFormula>Table1533[[#This Row],[V1 (m/s)]]</calculatedColumnFormula>
    </tableColumn>
    <tableColumn id="6" xr3:uid="{00000000-0010-0000-1C00-000006000000}" name="Re1" dataDxfId="53">
      <calculatedColumnFormula>H15</calculatedColumnFormula>
    </tableColumn>
    <tableColumn id="7" xr3:uid="{00000000-0010-0000-1C00-000007000000}" name="Re2" dataDxfId="52">
      <calculatedColumnFormula>Table1533[[#This Row],[Re1]]</calculatedColumnFormula>
    </tableColumn>
    <tableColumn id="8" xr3:uid="{00000000-0010-0000-1C00-000008000000}" name="Hv (J/kg)" dataDxfId="51">
      <calculatedColumnFormula>(Table1533[[#This Row],[V1 (m/s)]]^2-Table1533[[#This Row],[V2 (m/s)]]^2)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D000000}" name="Table1634" displayName="Table1634" ref="A39:D42" totalsRowShown="0" headerRowDxfId="50" headerRowBorderDxfId="49" tableBorderDxfId="48" totalsRowBorderDxfId="47">
  <autoFilter ref="A39:D42" xr:uid="{00000000-0009-0000-0100-000021000000}"/>
  <tableColumns count="4">
    <tableColumn id="1" xr3:uid="{00000000-0010-0000-1D00-000001000000}" name="Segment" dataDxfId="46"/>
    <tableColumn id="2" xr3:uid="{00000000-0010-0000-1D00-000002000000}" name="Z1 (m)" dataDxfId="45"/>
    <tableColumn id="3" xr3:uid="{00000000-0010-0000-1D00-000003000000}" name="Z2 (m)" dataDxfId="44"/>
    <tableColumn id="4" xr3:uid="{00000000-0010-0000-1D00-000004000000}" name="Hh (J/kg)" dataDxfId="43">
      <calculatedColumnFormula>(Table1634[[#This Row],[Z2 (m)]]-Table1634[[#This Row],[Z1 (m)]])*9.807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E000000}" name="Table1735" displayName="Table1735" ref="A45:D48" totalsRowShown="0" headerRowDxfId="42" headerRowBorderDxfId="41" tableBorderDxfId="40" totalsRowBorderDxfId="39">
  <autoFilter ref="A45:D48" xr:uid="{00000000-0009-0000-0100-000022000000}"/>
  <tableColumns count="4">
    <tableColumn id="1" xr3:uid="{00000000-0010-0000-1E00-000001000000}" name="Segment" dataDxfId="38"/>
    <tableColumn id="2" xr3:uid="{00000000-0010-0000-1E00-000002000000}" name="P1 (kPa)" dataDxfId="37"/>
    <tableColumn id="3" xr3:uid="{00000000-0010-0000-1E00-000003000000}" name="P2 (kPa)" dataDxfId="36">
      <calculatedColumnFormula>S6</calculatedColumnFormula>
    </tableColumn>
    <tableColumn id="4" xr3:uid="{00000000-0010-0000-1E00-000004000000}" name="Hp (J/kg)" dataDxfId="35">
      <calculatedColumnFormula>(1000*Table1735[[#This Row],[P1 (kPa)]]-1000*Table1735[[#This Row],[P2 (kPa)]])/Table628[Density (kg/m3)]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F000000}" name="Table35" displayName="Table35" ref="A51:G52" totalsRowShown="0" headerRowDxfId="34" headerRowBorderDxfId="33" tableBorderDxfId="32">
  <autoFilter ref="A51:G52" xr:uid="{00000000-0009-0000-0100-000023000000}"/>
  <tableColumns count="7">
    <tableColumn id="1" xr3:uid="{00000000-0010-0000-1F00-000001000000}" name="Hp" dataDxfId="31">
      <calculatedColumnFormula>D47+D48+D46</calculatedColumnFormula>
    </tableColumn>
    <tableColumn id="2" xr3:uid="{00000000-0010-0000-1F00-000002000000}" name="Hh" dataDxfId="30">
      <calculatedColumnFormula>D42+D41+D40</calculatedColumnFormula>
    </tableColumn>
    <tableColumn id="3" xr3:uid="{00000000-0010-0000-1F00-000003000000}" name="Hv" dataDxfId="29">
      <calculatedColumnFormula>H34+H35+H36</calculatedColumnFormula>
    </tableColumn>
    <tableColumn id="4" xr3:uid="{00000000-0010-0000-1F00-000004000000}" name="Hf" dataDxfId="28">
      <calculatedColumnFormula>B9+B10+B8</calculatedColumnFormula>
    </tableColumn>
    <tableColumn id="5" xr3:uid="{00000000-0010-0000-1F00-000005000000}" name="Ws (kW)" dataDxfId="27">
      <calculatedColumnFormula>(Table35[Hp]+Table35[Hh]+Table35[Hv]+Table35[Hf])*Table628[Mass flow (kg/s)]/1000</calculatedColumnFormula>
    </tableColumn>
    <tableColumn id="6" xr3:uid="{00000000-0010-0000-1F00-000006000000}" name="Efficiency" dataDxfId="26"/>
    <tableColumn id="7" xr3:uid="{00000000-0010-0000-1F00-000007000000}" name="Cost ($)" dataDxfId="25" dataCellStyle="Currency">
      <calculatedColumnFormula>((Table35[Ws (kW)]*1+(1-Table35[Efficiency]))^0.4)*630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0000000}" name="Table3" displayName="Table3" ref="P5:U8" totalsRowShown="0" headerRowDxfId="24" headerRowBorderDxfId="23" tableBorderDxfId="22">
  <autoFilter ref="P5:U8" xr:uid="{00000000-0009-0000-0100-000003000000}"/>
  <tableColumns count="6">
    <tableColumn id="1" xr3:uid="{00000000-0010-0000-2000-000001000000}" name="Segment"/>
    <tableColumn id="2" xr3:uid="{00000000-0010-0000-2000-000002000000}" name="Pressure In (kPa)"/>
    <tableColumn id="3" xr3:uid="{00000000-0010-0000-2000-000003000000}" name="Pressure change in pipe (kPa)" dataDxfId="21">
      <calculatedColumnFormula>(B8*Table628[Density (kg/m3)])/1000</calculatedColumnFormula>
    </tableColumn>
    <tableColumn id="4" xr3:uid="{00000000-0010-0000-2000-000004000000}" name="Pressure out (kPA)" dataDxfId="20">
      <calculatedColumnFormula>Q6-R6</calculatedColumnFormula>
    </tableColumn>
    <tableColumn id="5" xr3:uid="{00000000-0010-0000-2000-000005000000}" name="Objective Pressure (kPa)" dataDxfId="19"/>
    <tableColumn id="6" xr3:uid="{00000000-0010-0000-2000-000006000000}" name="Difference" dataDxfId="18">
      <calculatedColumnFormula>Table3[[#This Row],[Pressure out (kPA)]]-Table3[[#This Row],[Objective Pressure (kPa)]]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1000000}" name="Table36" displayName="Table36" ref="C7:G8" totalsRowShown="0" headerRowDxfId="17" dataDxfId="15" headerRowBorderDxfId="16" tableBorderDxfId="14" totalsRowBorderDxfId="13">
  <autoFilter ref="C7:G8" xr:uid="{00000000-0009-0000-0100-000024000000}"/>
  <tableColumns count="5">
    <tableColumn id="1" xr3:uid="{00000000-0010-0000-2100-000001000000}" name="Pump 401 - A/B Cost ($)" dataDxfId="12" dataCellStyle="Currency">
      <calculatedColumnFormula>Table35[Cost ($)]</calculatedColumnFormula>
    </tableColumn>
    <tableColumn id="2" xr3:uid="{00000000-0010-0000-2100-000002000000}" name="Piping Cost ($)" dataDxfId="11" dataCellStyle="Currency">
      <calculatedColumnFormula>Table10[[#Totals],[Total Cost $]]</calculatedColumnFormula>
    </tableColumn>
    <tableColumn id="3" xr3:uid="{00000000-0010-0000-2100-000003000000}" name="Pump 401 - A/B2" dataDxfId="10" dataCellStyle="Currency">
      <calculatedColumnFormula>24*365*Table35[Ws (kW)]*(1+(1-D4))*0.06</calculatedColumnFormula>
    </tableColumn>
    <tableColumn id="4" xr3:uid="{00000000-0010-0000-2100-000004000000}" name="CAP" dataDxfId="9" dataCellStyle="Currency">
      <calculatedColumnFormula>Table36[Pump 401 - A/B Cost ($)]+Table36[Piping Cost ($)]</calculatedColumnFormula>
    </tableColumn>
    <tableColumn id="5" xr3:uid="{00000000-0010-0000-2100-000005000000}" name="EAOC" dataDxfId="8" dataCellStyle="Currency">
      <calculatedColumnFormula>Table36[CAP]*D3+Table36[Pump 401 - A/B2]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2000000}" name="Table18" displayName="Table18" ref="I11:K26" totalsRowShown="0" headerRowDxfId="7" dataDxfId="5" headerRowBorderDxfId="6" tableBorderDxfId="4" totalsRowBorderDxfId="3">
  <autoFilter ref="I11:K26" xr:uid="{00000000-0009-0000-0100-000012000000}"/>
  <tableColumns count="3">
    <tableColumn id="1" xr3:uid="{00000000-0010-0000-2200-000001000000}" name="Material" dataDxfId="2"/>
    <tableColumn id="2" xr3:uid="{00000000-0010-0000-2200-000002000000}" name="Pump Cost ($)" dataDxfId="1"/>
    <tableColumn id="3" xr3:uid="{00000000-0010-0000-2200-000003000000}" name="EAOC" dataDxfId="0">
      <calculatedColumnFormula>Table36[CAP]*$D$3+$D$4*Table36[Pump 401 - A/B2]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hyperlink" Target="http://www.engineeringtoolbox.com/major-loss-ducts-tubes-d_459.html" TargetMode="Externa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2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15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table" Target="../tables/table11.xml"/><Relationship Id="rId25" Type="http://schemas.openxmlformats.org/officeDocument/2006/relationships/table" Target="../tables/table19.xml"/><Relationship Id="rId2" Type="http://schemas.openxmlformats.org/officeDocument/2006/relationships/drawing" Target="../drawings/drawing2.xml"/><Relationship Id="rId16" Type="http://schemas.openxmlformats.org/officeDocument/2006/relationships/table" Target="../tables/table10.xml"/><Relationship Id="rId20" Type="http://schemas.openxmlformats.org/officeDocument/2006/relationships/table" Target="../tables/table1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18.xml"/><Relationship Id="rId5" Type="http://schemas.openxmlformats.org/officeDocument/2006/relationships/image" Target="../media/image1.emf"/><Relationship Id="rId15" Type="http://schemas.openxmlformats.org/officeDocument/2006/relationships/table" Target="../tables/table9.xml"/><Relationship Id="rId23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table" Target="../tables/table1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8.xml"/><Relationship Id="rId22" Type="http://schemas.openxmlformats.org/officeDocument/2006/relationships/table" Target="../tables/table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table" Target="../tables/table22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table" Target="../tables/table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11" Type="http://schemas.openxmlformats.org/officeDocument/2006/relationships/table" Target="../tables/table20.xml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13" Type="http://schemas.openxmlformats.org/officeDocument/2006/relationships/table" Target="../tables/table31.xml"/><Relationship Id="rId3" Type="http://schemas.openxmlformats.org/officeDocument/2006/relationships/control" Target="../activeX/activeX11.xml"/><Relationship Id="rId7" Type="http://schemas.openxmlformats.org/officeDocument/2006/relationships/table" Target="../tables/table25.xml"/><Relationship Id="rId12" Type="http://schemas.openxmlformats.org/officeDocument/2006/relationships/table" Target="../tables/table30.xml"/><Relationship Id="rId2" Type="http://schemas.openxmlformats.org/officeDocument/2006/relationships/vmlDrawing" Target="../drawings/vmlDrawing4.vml"/><Relationship Id="rId16" Type="http://schemas.openxmlformats.org/officeDocument/2006/relationships/comments" Target="../comments2.xml"/><Relationship Id="rId1" Type="http://schemas.openxmlformats.org/officeDocument/2006/relationships/drawing" Target="../drawings/drawing5.xml"/><Relationship Id="rId6" Type="http://schemas.openxmlformats.org/officeDocument/2006/relationships/table" Target="../tables/table24.xml"/><Relationship Id="rId11" Type="http://schemas.openxmlformats.org/officeDocument/2006/relationships/table" Target="../tables/table29.xml"/><Relationship Id="rId5" Type="http://schemas.openxmlformats.org/officeDocument/2006/relationships/table" Target="../tables/table23.xml"/><Relationship Id="rId15" Type="http://schemas.openxmlformats.org/officeDocument/2006/relationships/table" Target="../tables/table33.xml"/><Relationship Id="rId10" Type="http://schemas.openxmlformats.org/officeDocument/2006/relationships/table" Target="../tables/table28.xml"/><Relationship Id="rId4" Type="http://schemas.openxmlformats.org/officeDocument/2006/relationships/image" Target="../media/image11.emf"/><Relationship Id="rId9" Type="http://schemas.openxmlformats.org/officeDocument/2006/relationships/table" Target="../tables/table27.xml"/><Relationship Id="rId14" Type="http://schemas.openxmlformats.org/officeDocument/2006/relationships/table" Target="../tables/table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B20"/>
  <sheetViews>
    <sheetView showGridLines="0" workbookViewId="0">
      <selection activeCell="D39" sqref="D39"/>
    </sheetView>
  </sheetViews>
  <sheetFormatPr defaultRowHeight="15" x14ac:dyDescent="0.25"/>
  <sheetData>
    <row r="3" spans="2:2" x14ac:dyDescent="0.25">
      <c r="B3" t="s">
        <v>192</v>
      </c>
    </row>
    <row r="4" spans="2:2" x14ac:dyDescent="0.25">
      <c r="B4" t="s">
        <v>193</v>
      </c>
    </row>
    <row r="6" spans="2:2" x14ac:dyDescent="0.25">
      <c r="B6" t="s">
        <v>31</v>
      </c>
    </row>
    <row r="7" spans="2:2" x14ac:dyDescent="0.25">
      <c r="B7" t="s">
        <v>194</v>
      </c>
    </row>
    <row r="8" spans="2:2" x14ac:dyDescent="0.25">
      <c r="B8" t="s">
        <v>195</v>
      </c>
    </row>
    <row r="9" spans="2:2" x14ac:dyDescent="0.25">
      <c r="B9" t="s">
        <v>196</v>
      </c>
    </row>
    <row r="10" spans="2:2" x14ac:dyDescent="0.25">
      <c r="B10" t="s">
        <v>197</v>
      </c>
    </row>
    <row r="12" spans="2:2" x14ac:dyDescent="0.25">
      <c r="B12" t="s">
        <v>198</v>
      </c>
    </row>
    <row r="13" spans="2:2" x14ac:dyDescent="0.25">
      <c r="B13" t="s">
        <v>199</v>
      </c>
    </row>
    <row r="15" spans="2:2" x14ac:dyDescent="0.25">
      <c r="B15" t="s">
        <v>200</v>
      </c>
    </row>
    <row r="16" spans="2:2" x14ac:dyDescent="0.25">
      <c r="B16" t="s">
        <v>201</v>
      </c>
    </row>
    <row r="18" spans="2:2" x14ac:dyDescent="0.25">
      <c r="B18" t="s">
        <v>202</v>
      </c>
    </row>
    <row r="19" spans="2:2" x14ac:dyDescent="0.25">
      <c r="B19" t="s">
        <v>203</v>
      </c>
    </row>
    <row r="20" spans="2:2" x14ac:dyDescent="0.25">
      <c r="B20" t="s">
        <v>204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AH67"/>
  <sheetViews>
    <sheetView topLeftCell="E1" workbookViewId="0">
      <selection activeCell="I28" sqref="I28"/>
    </sheetView>
  </sheetViews>
  <sheetFormatPr defaultRowHeight="15" x14ac:dyDescent="0.25"/>
  <cols>
    <col min="2" max="2" width="30" customWidth="1"/>
    <col min="3" max="3" width="8.28515625" bestFit="1" customWidth="1"/>
    <col min="5" max="5" width="28.7109375" bestFit="1" customWidth="1"/>
    <col min="6" max="6" width="23.42578125" bestFit="1" customWidth="1"/>
    <col min="7" max="7" width="8.5703125" bestFit="1" customWidth="1"/>
    <col min="9" max="9" width="28.7109375" bestFit="1" customWidth="1"/>
    <col min="10" max="10" width="24.42578125" bestFit="1" customWidth="1"/>
    <col min="12" max="12" width="15.42578125" bestFit="1" customWidth="1"/>
    <col min="13" max="13" width="11.42578125" bestFit="1" customWidth="1"/>
    <col min="14" max="14" width="21.28515625" bestFit="1" customWidth="1"/>
    <col min="16" max="16" width="15.42578125" bestFit="1" customWidth="1"/>
    <col min="17" max="17" width="11.42578125" bestFit="1" customWidth="1"/>
    <col min="18" max="18" width="21.28515625" bestFit="1" customWidth="1"/>
    <col min="20" max="20" width="15.42578125" bestFit="1" customWidth="1"/>
    <col min="21" max="21" width="18.7109375" bestFit="1" customWidth="1"/>
    <col min="22" max="22" width="21.28515625" bestFit="1" customWidth="1"/>
    <col min="24" max="24" width="15.140625" customWidth="1"/>
    <col min="25" max="25" width="18.7109375" bestFit="1" customWidth="1"/>
    <col min="26" max="26" width="20.85546875" customWidth="1"/>
    <col min="28" max="28" width="15.140625" customWidth="1"/>
    <col min="29" max="29" width="11.28515625" bestFit="1" customWidth="1"/>
    <col min="30" max="30" width="20.85546875" customWidth="1"/>
    <col min="32" max="32" width="15.140625" customWidth="1"/>
    <col min="33" max="33" width="11.28515625" bestFit="1" customWidth="1"/>
    <col min="34" max="34" width="20.85546875" customWidth="1"/>
  </cols>
  <sheetData>
    <row r="2" spans="2:34" x14ac:dyDescent="0.25">
      <c r="D2" s="2"/>
      <c r="L2" s="290" t="s">
        <v>186</v>
      </c>
      <c r="M2" s="290"/>
      <c r="N2" s="290"/>
      <c r="P2" s="290" t="s">
        <v>187</v>
      </c>
      <c r="Q2" s="290"/>
      <c r="R2" s="290"/>
      <c r="T2" s="290" t="s">
        <v>185</v>
      </c>
      <c r="U2" s="290"/>
      <c r="V2" s="290"/>
      <c r="X2" s="290" t="s">
        <v>212</v>
      </c>
      <c r="Y2" s="290"/>
      <c r="Z2" s="290"/>
      <c r="AB2" s="290" t="s">
        <v>216</v>
      </c>
      <c r="AC2" s="290"/>
      <c r="AD2" s="290"/>
    </row>
    <row r="3" spans="2:34" x14ac:dyDescent="0.25">
      <c r="B3" s="9" t="s">
        <v>39</v>
      </c>
      <c r="C3" s="9" t="s">
        <v>120</v>
      </c>
      <c r="D3" s="2"/>
      <c r="E3" s="9" t="s">
        <v>46</v>
      </c>
      <c r="F3" s="9" t="s">
        <v>47</v>
      </c>
      <c r="G3" s="9" t="s">
        <v>48</v>
      </c>
      <c r="I3" s="9" t="s">
        <v>46</v>
      </c>
      <c r="J3" s="9" t="s">
        <v>92</v>
      </c>
      <c r="L3" s="292" t="s">
        <v>154</v>
      </c>
      <c r="M3" s="292"/>
      <c r="N3" s="292"/>
      <c r="P3" s="282" t="s">
        <v>183</v>
      </c>
      <c r="Q3" s="282"/>
      <c r="R3" s="282"/>
      <c r="T3" s="282" t="s">
        <v>188</v>
      </c>
      <c r="U3" s="282"/>
      <c r="V3" s="282"/>
      <c r="X3" s="282" t="s">
        <v>210</v>
      </c>
      <c r="Y3" s="282"/>
      <c r="Z3" s="282"/>
      <c r="AB3" s="282" t="s">
        <v>213</v>
      </c>
      <c r="AC3" s="282"/>
      <c r="AD3" s="282"/>
      <c r="AF3" s="282" t="s">
        <v>217</v>
      </c>
      <c r="AG3" s="282"/>
      <c r="AH3" s="282"/>
    </row>
    <row r="4" spans="2:34" ht="15.75" thickBot="1" x14ac:dyDescent="0.3">
      <c r="B4" s="13" t="s">
        <v>40</v>
      </c>
      <c r="C4" s="13">
        <v>1.5E-3</v>
      </c>
      <c r="D4" s="2"/>
      <c r="E4" s="11" t="s">
        <v>49</v>
      </c>
      <c r="F4" s="11" t="s">
        <v>50</v>
      </c>
      <c r="G4" s="11">
        <v>0.35</v>
      </c>
      <c r="I4" s="11" t="s">
        <v>49</v>
      </c>
      <c r="J4" s="11" t="s">
        <v>94</v>
      </c>
      <c r="L4" s="5" t="s">
        <v>155</v>
      </c>
      <c r="M4" s="5" t="s">
        <v>156</v>
      </c>
      <c r="N4" s="5" t="s">
        <v>157</v>
      </c>
      <c r="P4" t="s">
        <v>155</v>
      </c>
      <c r="Q4" t="s">
        <v>156</v>
      </c>
      <c r="R4" t="s">
        <v>157</v>
      </c>
      <c r="T4" s="139" t="s">
        <v>155</v>
      </c>
      <c r="U4" s="140" t="s">
        <v>156</v>
      </c>
      <c r="V4" s="141" t="s">
        <v>157</v>
      </c>
      <c r="X4" s="139" t="s">
        <v>155</v>
      </c>
      <c r="Y4" s="140" t="s">
        <v>91</v>
      </c>
      <c r="Z4" s="141" t="s">
        <v>157</v>
      </c>
      <c r="AB4" s="139" t="s">
        <v>155</v>
      </c>
      <c r="AC4" s="140" t="s">
        <v>91</v>
      </c>
      <c r="AD4" s="141" t="s">
        <v>157</v>
      </c>
      <c r="AF4" s="139" t="s">
        <v>155</v>
      </c>
      <c r="AG4" s="140" t="s">
        <v>91</v>
      </c>
      <c r="AH4" s="141" t="s">
        <v>157</v>
      </c>
    </row>
    <row r="5" spans="2:34" ht="15.75" thickBot="1" x14ac:dyDescent="0.3">
      <c r="B5" s="11" t="s">
        <v>41</v>
      </c>
      <c r="C5" s="11">
        <v>1.5E-3</v>
      </c>
      <c r="D5" s="2"/>
      <c r="E5" s="13" t="s">
        <v>49</v>
      </c>
      <c r="F5" s="13" t="s">
        <v>51</v>
      </c>
      <c r="G5" s="13">
        <v>0.2</v>
      </c>
      <c r="I5" s="13" t="s">
        <v>52</v>
      </c>
      <c r="J5" s="13" t="s">
        <v>95</v>
      </c>
      <c r="L5" s="97">
        <v>0.125</v>
      </c>
      <c r="M5" s="100">
        <v>40</v>
      </c>
      <c r="N5" s="101">
        <v>0.26900000000000002</v>
      </c>
      <c r="O5" s="102"/>
      <c r="P5" s="97">
        <v>0.5</v>
      </c>
      <c r="Q5" s="100">
        <v>40</v>
      </c>
      <c r="R5" s="101">
        <v>0.622</v>
      </c>
      <c r="T5" s="125">
        <v>0.25</v>
      </c>
      <c r="U5" s="126" t="s">
        <v>30</v>
      </c>
      <c r="V5" s="127">
        <v>0.30499999999999999</v>
      </c>
      <c r="X5" s="115">
        <v>0.125</v>
      </c>
      <c r="Y5" s="116" t="s">
        <v>30</v>
      </c>
      <c r="Z5" s="117">
        <v>0.28100000000000003</v>
      </c>
      <c r="AB5" s="115">
        <v>2</v>
      </c>
      <c r="AC5" s="116" t="s">
        <v>214</v>
      </c>
      <c r="AD5" s="117">
        <v>1.96</v>
      </c>
      <c r="AF5" s="115">
        <v>0.375</v>
      </c>
      <c r="AG5" s="116"/>
      <c r="AH5" s="117">
        <v>0.27700000000000002</v>
      </c>
    </row>
    <row r="6" spans="2:34" ht="15.75" thickBot="1" x14ac:dyDescent="0.3">
      <c r="B6" s="13" t="s">
        <v>42</v>
      </c>
      <c r="C6" s="13">
        <v>1.5E-3</v>
      </c>
      <c r="D6" s="2"/>
      <c r="E6" s="11" t="s">
        <v>52</v>
      </c>
      <c r="F6" s="11" t="s">
        <v>50</v>
      </c>
      <c r="G6" s="11">
        <v>0.75</v>
      </c>
      <c r="I6" s="11" t="s">
        <v>53</v>
      </c>
      <c r="J6" s="11" t="s">
        <v>96</v>
      </c>
      <c r="L6" s="98">
        <v>0.25</v>
      </c>
      <c r="M6" s="103">
        <v>40</v>
      </c>
      <c r="N6" s="91">
        <v>0.36399999999999999</v>
      </c>
      <c r="O6" s="102"/>
      <c r="P6" s="98">
        <v>0.75</v>
      </c>
      <c r="Q6" s="103">
        <v>40</v>
      </c>
      <c r="R6" s="91">
        <v>0.82399999999999995</v>
      </c>
      <c r="T6" s="128">
        <v>0.375</v>
      </c>
      <c r="U6" s="129" t="s">
        <v>30</v>
      </c>
      <c r="V6" s="130">
        <v>0.40200000000000002</v>
      </c>
      <c r="X6" s="118">
        <v>0.25</v>
      </c>
      <c r="Y6" s="121" t="s">
        <v>30</v>
      </c>
      <c r="Z6" s="119">
        <v>0.376</v>
      </c>
      <c r="AB6" s="118">
        <v>3</v>
      </c>
      <c r="AC6" s="116" t="s">
        <v>214</v>
      </c>
      <c r="AD6" s="119">
        <v>2.96</v>
      </c>
      <c r="AF6" s="118">
        <v>0.438</v>
      </c>
      <c r="AG6" s="116"/>
      <c r="AH6" s="119">
        <v>0.27200000000000002</v>
      </c>
    </row>
    <row r="7" spans="2:34" ht="15.75" thickBot="1" x14ac:dyDescent="0.3">
      <c r="B7" s="11" t="s">
        <v>43</v>
      </c>
      <c r="C7" s="11">
        <v>1.5E-3</v>
      </c>
      <c r="D7" s="2"/>
      <c r="E7" s="13" t="s">
        <v>52</v>
      </c>
      <c r="F7" s="13" t="s">
        <v>51</v>
      </c>
      <c r="G7" s="13">
        <v>0.45</v>
      </c>
      <c r="I7" s="13" t="s">
        <v>54</v>
      </c>
      <c r="J7" s="13" t="s">
        <v>97</v>
      </c>
      <c r="L7" s="98">
        <v>0.375</v>
      </c>
      <c r="M7" s="103">
        <v>40</v>
      </c>
      <c r="N7" s="91">
        <v>0.49299999999999999</v>
      </c>
      <c r="O7" s="102"/>
      <c r="P7" s="98">
        <v>1</v>
      </c>
      <c r="Q7" s="103">
        <v>40</v>
      </c>
      <c r="R7" s="91">
        <v>1.0489999999999999</v>
      </c>
      <c r="T7" s="131">
        <v>0.5</v>
      </c>
      <c r="U7" s="132" t="s">
        <v>30</v>
      </c>
      <c r="V7" s="133">
        <v>0.52700000000000002</v>
      </c>
      <c r="X7" s="120">
        <v>0.375</v>
      </c>
      <c r="Y7" s="121" t="s">
        <v>30</v>
      </c>
      <c r="Z7" s="122">
        <v>0.495</v>
      </c>
      <c r="AB7" s="120">
        <v>4</v>
      </c>
      <c r="AC7" s="116" t="s">
        <v>214</v>
      </c>
      <c r="AD7" s="122">
        <v>3.94</v>
      </c>
      <c r="AF7" s="120">
        <v>0.5</v>
      </c>
      <c r="AG7" s="116"/>
      <c r="AH7" s="122">
        <v>0.43</v>
      </c>
    </row>
    <row r="8" spans="2:34" ht="15.75" thickBot="1" x14ac:dyDescent="0.3">
      <c r="B8" s="13" t="s">
        <v>44</v>
      </c>
      <c r="C8" s="13">
        <v>1.5E-3</v>
      </c>
      <c r="D8" s="2"/>
      <c r="E8" s="11" t="s">
        <v>53</v>
      </c>
      <c r="F8" s="11"/>
      <c r="G8" s="11">
        <v>1.3</v>
      </c>
      <c r="I8" s="11" t="s">
        <v>56</v>
      </c>
      <c r="J8" s="11" t="s">
        <v>98</v>
      </c>
      <c r="L8" s="98">
        <v>0.5</v>
      </c>
      <c r="M8" s="103">
        <v>40</v>
      </c>
      <c r="N8" s="91">
        <v>0.622</v>
      </c>
      <c r="O8" s="102"/>
      <c r="P8" s="98">
        <v>1.25</v>
      </c>
      <c r="Q8" s="103">
        <v>40</v>
      </c>
      <c r="R8" s="91">
        <v>1.38</v>
      </c>
      <c r="T8" s="128">
        <v>0.625</v>
      </c>
      <c r="U8" s="129" t="s">
        <v>30</v>
      </c>
      <c r="V8" s="130">
        <v>0.65200000000000002</v>
      </c>
      <c r="X8" s="118">
        <v>0.5</v>
      </c>
      <c r="Y8" s="121" t="s">
        <v>30</v>
      </c>
      <c r="Z8" s="119">
        <v>0.626</v>
      </c>
      <c r="AB8" s="118">
        <v>5</v>
      </c>
      <c r="AC8" s="116" t="s">
        <v>214</v>
      </c>
      <c r="AD8" s="119">
        <v>4.9400000000000004</v>
      </c>
      <c r="AF8" s="118">
        <v>0.56299999999999994</v>
      </c>
      <c r="AG8" s="116"/>
      <c r="AH8" s="119">
        <v>0.433</v>
      </c>
    </row>
    <row r="9" spans="2:34" ht="15.75" thickBot="1" x14ac:dyDescent="0.3">
      <c r="B9" s="13" t="s">
        <v>119</v>
      </c>
      <c r="C9" s="13">
        <v>1.5E-3</v>
      </c>
      <c r="D9" s="2"/>
      <c r="E9" s="13" t="s">
        <v>54</v>
      </c>
      <c r="F9" s="13" t="s">
        <v>55</v>
      </c>
      <c r="G9" s="13">
        <v>1.5</v>
      </c>
      <c r="I9" s="13" t="s">
        <v>58</v>
      </c>
      <c r="J9" s="13" t="s">
        <v>99</v>
      </c>
      <c r="L9" s="98">
        <v>0.75</v>
      </c>
      <c r="M9" s="103">
        <v>40</v>
      </c>
      <c r="N9" s="91">
        <v>0.82399999999999995</v>
      </c>
      <c r="O9" s="102"/>
      <c r="P9" s="98">
        <v>1.5</v>
      </c>
      <c r="Q9" s="103">
        <v>40</v>
      </c>
      <c r="R9" s="91">
        <v>1.61</v>
      </c>
      <c r="T9" s="131">
        <v>0.75</v>
      </c>
      <c r="U9" s="132" t="s">
        <v>30</v>
      </c>
      <c r="V9" s="133">
        <v>0.745</v>
      </c>
      <c r="X9" s="120">
        <v>0.75</v>
      </c>
      <c r="Y9" s="121" t="s">
        <v>30</v>
      </c>
      <c r="Z9" s="122">
        <v>0.82199999999999995</v>
      </c>
      <c r="AB9" s="120">
        <v>6</v>
      </c>
      <c r="AC9" s="116" t="s">
        <v>214</v>
      </c>
      <c r="AD9" s="122">
        <v>5.94</v>
      </c>
      <c r="AF9" s="120">
        <v>0.625</v>
      </c>
      <c r="AG9" s="116"/>
      <c r="AH9" s="122">
        <v>0.55500000000000005</v>
      </c>
    </row>
    <row r="10" spans="2:34" ht="15.75" thickBot="1" x14ac:dyDescent="0.3">
      <c r="B10" s="11" t="s">
        <v>118</v>
      </c>
      <c r="C10" s="11">
        <v>4.6E-5</v>
      </c>
      <c r="D10" s="2"/>
      <c r="E10" s="11" t="s">
        <v>56</v>
      </c>
      <c r="F10" s="11" t="s">
        <v>57</v>
      </c>
      <c r="G10" s="11">
        <v>0.4</v>
      </c>
      <c r="I10" s="11" t="s">
        <v>61</v>
      </c>
      <c r="J10" s="11" t="s">
        <v>100</v>
      </c>
      <c r="L10" s="98">
        <v>1</v>
      </c>
      <c r="M10" s="103">
        <v>40</v>
      </c>
      <c r="N10" s="91">
        <v>1.0489999999999999</v>
      </c>
      <c r="O10" s="102"/>
      <c r="P10" s="98">
        <v>2</v>
      </c>
      <c r="Q10" s="103">
        <v>40</v>
      </c>
      <c r="R10" s="91">
        <v>2.0670000000000002</v>
      </c>
      <c r="T10" s="128">
        <v>1</v>
      </c>
      <c r="U10" s="129" t="s">
        <v>30</v>
      </c>
      <c r="V10" s="130">
        <v>0.995</v>
      </c>
      <c r="X10" s="118">
        <v>1</v>
      </c>
      <c r="Y10" s="121" t="s">
        <v>30</v>
      </c>
      <c r="Z10" s="119">
        <v>1.0629999999999999</v>
      </c>
      <c r="AB10" s="118">
        <v>8</v>
      </c>
      <c r="AC10" s="116" t="s">
        <v>214</v>
      </c>
      <c r="AD10" s="119">
        <v>7.94</v>
      </c>
      <c r="AF10" s="118">
        <v>0.68799999999999994</v>
      </c>
      <c r="AG10" s="116"/>
      <c r="AH10" s="119">
        <v>0.55800000000000005</v>
      </c>
    </row>
    <row r="11" spans="2:34" ht="15.75" thickBot="1" x14ac:dyDescent="0.3">
      <c r="B11" s="13" t="s">
        <v>121</v>
      </c>
      <c r="C11" s="13">
        <v>1.5E-5</v>
      </c>
      <c r="D11" s="2"/>
      <c r="E11" s="13" t="s">
        <v>58</v>
      </c>
      <c r="F11" s="13" t="s">
        <v>59</v>
      </c>
      <c r="G11" s="13">
        <v>1</v>
      </c>
      <c r="I11" s="13" t="s">
        <v>62</v>
      </c>
      <c r="J11" s="13" t="s">
        <v>101</v>
      </c>
      <c r="L11" s="98">
        <v>1.25</v>
      </c>
      <c r="M11" s="103">
        <v>40</v>
      </c>
      <c r="N11" s="91">
        <v>1.38</v>
      </c>
      <c r="O11" s="102"/>
      <c r="P11" s="98">
        <v>2.5</v>
      </c>
      <c r="Q11" s="103">
        <v>40</v>
      </c>
      <c r="R11" s="91">
        <v>2.468</v>
      </c>
      <c r="T11" s="131">
        <v>1.25</v>
      </c>
      <c r="U11" s="132" t="s">
        <v>30</v>
      </c>
      <c r="V11" s="133">
        <v>1.2450000000000001</v>
      </c>
      <c r="X11" s="120">
        <v>1.25</v>
      </c>
      <c r="Y11" s="121" t="s">
        <v>30</v>
      </c>
      <c r="Z11" s="122">
        <v>1.3680000000000001</v>
      </c>
      <c r="AB11" s="120">
        <v>10</v>
      </c>
      <c r="AC11" s="116" t="s">
        <v>214</v>
      </c>
      <c r="AD11" s="122">
        <v>9.94</v>
      </c>
      <c r="AF11" s="120">
        <v>0.75</v>
      </c>
      <c r="AG11" s="116"/>
      <c r="AH11" s="122">
        <v>0.68</v>
      </c>
    </row>
    <row r="12" spans="2:34" ht="15.75" thickBot="1" x14ac:dyDescent="0.3">
      <c r="B12" s="11" t="s">
        <v>122</v>
      </c>
      <c r="C12" s="11">
        <v>4.6E-5</v>
      </c>
      <c r="D12" s="2"/>
      <c r="E12" s="11" t="s">
        <v>58</v>
      </c>
      <c r="F12" s="11" t="s">
        <v>60</v>
      </c>
      <c r="G12" s="11">
        <v>1</v>
      </c>
      <c r="I12" s="11" t="s">
        <v>63</v>
      </c>
      <c r="J12" s="11" t="s">
        <v>102</v>
      </c>
      <c r="L12" s="98">
        <v>1.5</v>
      </c>
      <c r="M12" s="103">
        <v>40</v>
      </c>
      <c r="N12" s="91">
        <v>1.61</v>
      </c>
      <c r="O12" s="102"/>
      <c r="P12" s="98">
        <v>3</v>
      </c>
      <c r="Q12" s="103">
        <v>40</v>
      </c>
      <c r="R12" s="91">
        <v>3.0680000000000001</v>
      </c>
      <c r="T12" s="128">
        <v>1.5</v>
      </c>
      <c r="U12" s="129" t="s">
        <v>30</v>
      </c>
      <c r="V12" s="130">
        <v>1.4810000000000001</v>
      </c>
      <c r="X12" s="118">
        <v>1.5</v>
      </c>
      <c r="Y12" s="121" t="s">
        <v>30</v>
      </c>
      <c r="Z12" s="119">
        <v>1.6</v>
      </c>
      <c r="AB12" s="123">
        <v>12</v>
      </c>
      <c r="AC12" s="116" t="s">
        <v>214</v>
      </c>
      <c r="AD12" s="124">
        <v>11.94</v>
      </c>
      <c r="AF12" s="123">
        <v>0.81299999999999994</v>
      </c>
      <c r="AG12" s="116"/>
      <c r="AH12" s="124">
        <v>0.68300000000000005</v>
      </c>
    </row>
    <row r="13" spans="2:34" ht="15.75" thickBot="1" x14ac:dyDescent="0.3">
      <c r="B13" s="13" t="s">
        <v>123</v>
      </c>
      <c r="C13" s="13">
        <v>1.2E-4</v>
      </c>
      <c r="D13" s="2"/>
      <c r="E13" s="12" t="s">
        <v>61</v>
      </c>
      <c r="F13" s="13"/>
      <c r="G13" s="12">
        <v>1</v>
      </c>
      <c r="I13" s="12" t="s">
        <v>64</v>
      </c>
      <c r="J13" s="12" t="s">
        <v>103</v>
      </c>
      <c r="L13" s="98">
        <v>2</v>
      </c>
      <c r="M13" s="103">
        <v>40</v>
      </c>
      <c r="N13" s="91">
        <v>2.0670000000000002</v>
      </c>
      <c r="O13" s="102"/>
      <c r="P13" s="98">
        <v>4</v>
      </c>
      <c r="Q13" s="103">
        <v>40</v>
      </c>
      <c r="R13" s="91">
        <v>4.0259999999999998</v>
      </c>
      <c r="T13" s="131">
        <v>2</v>
      </c>
      <c r="U13" s="132" t="s">
        <v>30</v>
      </c>
      <c r="V13" s="133">
        <v>1.9590000000000001</v>
      </c>
      <c r="X13" s="120">
        <v>2</v>
      </c>
      <c r="Y13" s="121" t="s">
        <v>30</v>
      </c>
      <c r="Z13" s="122">
        <v>2.0630000000000002</v>
      </c>
      <c r="AB13" s="115">
        <v>2</v>
      </c>
      <c r="AC13" s="116" t="s">
        <v>215</v>
      </c>
      <c r="AD13" s="117">
        <v>2</v>
      </c>
      <c r="AF13" s="115">
        <v>0.875</v>
      </c>
      <c r="AG13" s="116"/>
      <c r="AH13" s="117">
        <v>0.77700000000000002</v>
      </c>
    </row>
    <row r="14" spans="2:34" ht="15.75" thickBot="1" x14ac:dyDescent="0.3">
      <c r="B14" s="11" t="s">
        <v>124</v>
      </c>
      <c r="C14" s="11">
        <v>1.4999999999999999E-4</v>
      </c>
      <c r="D14" s="2"/>
      <c r="E14" s="10" t="s">
        <v>62</v>
      </c>
      <c r="F14" s="11"/>
      <c r="G14" s="10">
        <v>0.04</v>
      </c>
      <c r="I14" s="10" t="s">
        <v>69</v>
      </c>
      <c r="J14" s="10" t="s">
        <v>104</v>
      </c>
      <c r="L14" s="98">
        <v>2.5</v>
      </c>
      <c r="M14" s="103">
        <v>40</v>
      </c>
      <c r="N14" s="91">
        <v>2.4689999999999999</v>
      </c>
      <c r="O14" s="102"/>
      <c r="P14" s="98">
        <v>5</v>
      </c>
      <c r="Q14" s="103">
        <v>40</v>
      </c>
      <c r="R14" s="91">
        <v>5.0469999999999997</v>
      </c>
      <c r="T14" s="128">
        <v>2.5</v>
      </c>
      <c r="U14" s="129" t="s">
        <v>30</v>
      </c>
      <c r="V14" s="130">
        <v>2.4350000000000001</v>
      </c>
      <c r="X14" s="118">
        <v>2.5</v>
      </c>
      <c r="Y14" s="121" t="s">
        <v>30</v>
      </c>
      <c r="Z14" s="119">
        <v>2.5009999999999999</v>
      </c>
      <c r="AB14" s="118">
        <v>3</v>
      </c>
      <c r="AC14" s="116" t="s">
        <v>215</v>
      </c>
      <c r="AD14" s="119">
        <v>3</v>
      </c>
      <c r="AF14" s="118">
        <v>0.93799999999999994</v>
      </c>
      <c r="AG14" s="116"/>
      <c r="AH14" s="119">
        <v>0.748</v>
      </c>
    </row>
    <row r="15" spans="2:34" ht="15.75" thickBot="1" x14ac:dyDescent="0.3">
      <c r="B15" s="13" t="s">
        <v>125</v>
      </c>
      <c r="C15" s="13">
        <v>2.5999999999999998E-4</v>
      </c>
      <c r="D15" s="2"/>
      <c r="E15" s="12" t="s">
        <v>63</v>
      </c>
      <c r="F15" s="13"/>
      <c r="G15" s="12">
        <v>0.04</v>
      </c>
      <c r="I15" s="12" t="s">
        <v>70</v>
      </c>
      <c r="J15" s="12" t="s">
        <v>105</v>
      </c>
      <c r="L15" s="98">
        <v>3</v>
      </c>
      <c r="M15" s="103">
        <v>40</v>
      </c>
      <c r="N15" s="91">
        <v>3.0680000000000001</v>
      </c>
      <c r="O15" s="102"/>
      <c r="P15" s="98">
        <v>6</v>
      </c>
      <c r="Q15" s="103">
        <v>40</v>
      </c>
      <c r="R15" s="91">
        <v>6.0650000000000004</v>
      </c>
      <c r="T15" s="131">
        <v>3</v>
      </c>
      <c r="U15" s="132" t="s">
        <v>30</v>
      </c>
      <c r="V15" s="133">
        <v>2.907</v>
      </c>
      <c r="X15" s="120">
        <v>3</v>
      </c>
      <c r="Y15" s="121" t="s">
        <v>30</v>
      </c>
      <c r="Z15" s="122">
        <v>3.0619999999999998</v>
      </c>
      <c r="AB15" s="120">
        <v>4</v>
      </c>
      <c r="AC15" s="116" t="s">
        <v>215</v>
      </c>
      <c r="AD15" s="122">
        <v>4</v>
      </c>
      <c r="AF15" s="120">
        <v>1</v>
      </c>
      <c r="AG15" s="116"/>
      <c r="AH15" s="122">
        <v>0.90200000000000002</v>
      </c>
    </row>
    <row r="16" spans="2:34" ht="15.75" thickBot="1" x14ac:dyDescent="0.3">
      <c r="B16" s="11" t="s">
        <v>126</v>
      </c>
      <c r="C16" s="11">
        <v>1.8000000000000001E-4</v>
      </c>
      <c r="D16" s="2"/>
      <c r="E16" s="10" t="s">
        <v>64</v>
      </c>
      <c r="F16" s="11" t="s">
        <v>65</v>
      </c>
      <c r="G16" s="10">
        <v>0.17</v>
      </c>
      <c r="I16" s="10" t="s">
        <v>71</v>
      </c>
      <c r="J16" s="10" t="s">
        <v>106</v>
      </c>
      <c r="L16" s="98">
        <v>3.5</v>
      </c>
      <c r="M16" s="103">
        <v>40</v>
      </c>
      <c r="N16" s="91">
        <v>3.548</v>
      </c>
      <c r="O16" s="102"/>
      <c r="P16" s="98">
        <v>8</v>
      </c>
      <c r="Q16" s="103">
        <v>40</v>
      </c>
      <c r="R16" s="91">
        <v>7.9809999999999999</v>
      </c>
      <c r="T16" s="128">
        <v>3.5</v>
      </c>
      <c r="U16" s="129" t="s">
        <v>30</v>
      </c>
      <c r="V16" s="130">
        <v>3.3849999999999998</v>
      </c>
      <c r="X16" s="118">
        <v>3.5</v>
      </c>
      <c r="Y16" s="121" t="s">
        <v>30</v>
      </c>
      <c r="Z16" s="119">
        <v>3.5</v>
      </c>
      <c r="AB16" s="118">
        <v>5</v>
      </c>
      <c r="AC16" s="116" t="s">
        <v>215</v>
      </c>
      <c r="AD16" s="119">
        <v>5</v>
      </c>
      <c r="AF16" s="118">
        <v>1.0629999999999999</v>
      </c>
      <c r="AG16" s="116"/>
      <c r="AH16" s="119">
        <v>0.93300000000000005</v>
      </c>
    </row>
    <row r="17" spans="1:34" ht="15.75" thickBot="1" x14ac:dyDescent="0.3">
      <c r="B17" s="13" t="s">
        <v>127</v>
      </c>
      <c r="C17" s="13">
        <f>(0.0003+0.0009)/2</f>
        <v>5.9999999999999995E-4</v>
      </c>
      <c r="D17" s="2"/>
      <c r="E17" s="12" t="s">
        <v>64</v>
      </c>
      <c r="F17" s="13" t="s">
        <v>66</v>
      </c>
      <c r="G17" s="12">
        <v>0.9</v>
      </c>
      <c r="I17" s="12" t="s">
        <v>72</v>
      </c>
      <c r="J17" s="12" t="s">
        <v>107</v>
      </c>
      <c r="L17" s="98">
        <v>4</v>
      </c>
      <c r="M17" s="103">
        <v>40</v>
      </c>
      <c r="N17" s="91">
        <v>4.0259999999999998</v>
      </c>
      <c r="O17" s="102"/>
      <c r="P17" s="98">
        <v>10</v>
      </c>
      <c r="Q17" s="103">
        <v>40</v>
      </c>
      <c r="R17" s="91">
        <v>10.02</v>
      </c>
      <c r="T17" s="131">
        <v>4</v>
      </c>
      <c r="U17" s="132" t="s">
        <v>30</v>
      </c>
      <c r="V17" s="133">
        <v>3.8570000000000002</v>
      </c>
      <c r="X17" s="120">
        <v>4</v>
      </c>
      <c r="Y17" s="121" t="s">
        <v>30</v>
      </c>
      <c r="Z17" s="122">
        <v>4</v>
      </c>
      <c r="AB17" s="120">
        <v>6</v>
      </c>
      <c r="AC17" s="116" t="s">
        <v>215</v>
      </c>
      <c r="AD17" s="122">
        <v>6</v>
      </c>
      <c r="AF17" s="120">
        <v>1.125</v>
      </c>
      <c r="AG17" s="116"/>
      <c r="AH17" s="122">
        <v>1.0269999999999999</v>
      </c>
    </row>
    <row r="18" spans="1:34" ht="15.75" thickBot="1" x14ac:dyDescent="0.3">
      <c r="B18" s="11" t="s">
        <v>128</v>
      </c>
      <c r="C18" s="11">
        <f>(0.0009+0.009)/2</f>
        <v>4.9499999999999995E-3</v>
      </c>
      <c r="D18" s="2"/>
      <c r="E18" s="10" t="s">
        <v>64</v>
      </c>
      <c r="F18" s="11" t="s">
        <v>67</v>
      </c>
      <c r="G18" s="10">
        <v>4.5</v>
      </c>
      <c r="I18" s="10" t="s">
        <v>73</v>
      </c>
      <c r="J18" s="10" t="s">
        <v>108</v>
      </c>
      <c r="L18" s="98">
        <v>5</v>
      </c>
      <c r="M18" s="103">
        <v>40</v>
      </c>
      <c r="N18" s="91">
        <v>5.0469999999999997</v>
      </c>
      <c r="O18" s="102"/>
      <c r="P18" s="98">
        <v>12</v>
      </c>
      <c r="Q18" s="103">
        <v>40</v>
      </c>
      <c r="R18" s="91">
        <v>11.938000000000001</v>
      </c>
      <c r="T18" s="128">
        <v>5</v>
      </c>
      <c r="U18" s="129" t="s">
        <v>30</v>
      </c>
      <c r="V18" s="130">
        <v>4.8049999999999997</v>
      </c>
      <c r="X18" s="118">
        <v>5</v>
      </c>
      <c r="Y18" s="121" t="s">
        <v>30</v>
      </c>
      <c r="Z18" s="119">
        <v>5.0620000000000003</v>
      </c>
      <c r="AB18" s="118">
        <v>8</v>
      </c>
      <c r="AC18" s="116" t="s">
        <v>215</v>
      </c>
      <c r="AD18" s="119">
        <v>8</v>
      </c>
      <c r="AF18" s="118">
        <v>1.1879999999999999</v>
      </c>
      <c r="AG18" s="116"/>
      <c r="AH18" s="119">
        <v>1.0580000000000001</v>
      </c>
    </row>
    <row r="19" spans="1:34" ht="15.75" thickBot="1" x14ac:dyDescent="0.3">
      <c r="A19" s="2"/>
      <c r="B19" s="291" t="s">
        <v>129</v>
      </c>
      <c r="C19" s="291"/>
      <c r="D19" s="2"/>
      <c r="E19" s="12" t="s">
        <v>64</v>
      </c>
      <c r="F19" s="13" t="s">
        <v>68</v>
      </c>
      <c r="G19" s="12">
        <v>24</v>
      </c>
      <c r="I19" s="12" t="s">
        <v>74</v>
      </c>
      <c r="J19" s="12" t="s">
        <v>109</v>
      </c>
      <c r="L19" s="98">
        <v>6</v>
      </c>
      <c r="M19" s="103">
        <v>40</v>
      </c>
      <c r="N19" s="91">
        <v>6.0650000000000004</v>
      </c>
      <c r="O19" s="102"/>
      <c r="P19" s="98">
        <v>14</v>
      </c>
      <c r="Q19" s="103">
        <v>40</v>
      </c>
      <c r="R19" s="91">
        <v>13.124000000000001</v>
      </c>
      <c r="T19" s="131">
        <v>6</v>
      </c>
      <c r="U19" s="132" t="s">
        <v>30</v>
      </c>
      <c r="V19" s="133">
        <v>5.7409999999999997</v>
      </c>
      <c r="X19" s="120">
        <v>6</v>
      </c>
      <c r="Y19" s="121" t="s">
        <v>30</v>
      </c>
      <c r="Z19" s="122">
        <v>6.125</v>
      </c>
      <c r="AB19" s="120">
        <v>10</v>
      </c>
      <c r="AC19" s="116" t="s">
        <v>215</v>
      </c>
      <c r="AD19" s="122">
        <v>10</v>
      </c>
      <c r="AF19" s="120">
        <v>1.25</v>
      </c>
      <c r="AG19" s="116"/>
      <c r="AH19" s="122">
        <v>1.1519999999999999</v>
      </c>
    </row>
    <row r="20" spans="1:34" ht="15.75" thickBot="1" x14ac:dyDescent="0.3">
      <c r="A20" s="2"/>
      <c r="B20" s="2" t="s">
        <v>130</v>
      </c>
      <c r="C20" s="2"/>
      <c r="D20" s="2"/>
      <c r="E20" s="10" t="s">
        <v>69</v>
      </c>
      <c r="F20" s="11" t="s">
        <v>65</v>
      </c>
      <c r="G20" s="10">
        <v>2.2999999999999998</v>
      </c>
      <c r="I20" s="10" t="s">
        <v>75</v>
      </c>
      <c r="J20" s="10" t="s">
        <v>110</v>
      </c>
      <c r="L20" s="99">
        <v>8</v>
      </c>
      <c r="M20" s="104">
        <v>40</v>
      </c>
      <c r="N20" s="95">
        <v>7.9809999999999999</v>
      </c>
      <c r="O20" s="102"/>
      <c r="P20" s="99">
        <v>16</v>
      </c>
      <c r="Q20" s="104">
        <v>40</v>
      </c>
      <c r="R20" s="95">
        <v>15</v>
      </c>
      <c r="T20" s="128">
        <v>8</v>
      </c>
      <c r="U20" s="129" t="s">
        <v>30</v>
      </c>
      <c r="V20" s="130">
        <v>7.5830000000000002</v>
      </c>
      <c r="X20" s="134">
        <v>8</v>
      </c>
      <c r="Y20" s="121" t="s">
        <v>30</v>
      </c>
      <c r="Z20" s="135">
        <v>8.0009999999999994</v>
      </c>
      <c r="AB20" s="136">
        <v>12</v>
      </c>
      <c r="AC20" s="116" t="s">
        <v>215</v>
      </c>
      <c r="AD20" s="137">
        <v>12</v>
      </c>
      <c r="AF20" s="136">
        <v>1.3129999999999999</v>
      </c>
      <c r="AG20" s="116"/>
      <c r="AH20" s="137">
        <v>1.1830000000000001</v>
      </c>
    </row>
    <row r="21" spans="1:34" ht="15.75" thickBot="1" x14ac:dyDescent="0.3">
      <c r="A21" s="2"/>
      <c r="B21" s="2"/>
      <c r="C21" s="2"/>
      <c r="D21" s="2"/>
      <c r="E21" s="12" t="s">
        <v>69</v>
      </c>
      <c r="F21" s="13" t="s">
        <v>66</v>
      </c>
      <c r="G21" s="12">
        <v>2.6</v>
      </c>
      <c r="I21" s="12" t="s">
        <v>81</v>
      </c>
      <c r="J21" s="12" t="s">
        <v>111</v>
      </c>
      <c r="L21" s="97">
        <v>0.125</v>
      </c>
      <c r="M21" s="100">
        <v>80</v>
      </c>
      <c r="N21" s="101">
        <v>0.215</v>
      </c>
      <c r="O21" s="102"/>
      <c r="P21" s="97">
        <f>P5</f>
        <v>0.5</v>
      </c>
      <c r="Q21" s="100">
        <v>80</v>
      </c>
      <c r="R21" s="101">
        <v>0.54600000000000004</v>
      </c>
      <c r="T21" s="283" t="s">
        <v>206</v>
      </c>
      <c r="U21" s="284"/>
      <c r="V21" s="285"/>
      <c r="X21" s="120">
        <v>10</v>
      </c>
      <c r="Y21" s="121" t="s">
        <v>30</v>
      </c>
      <c r="Z21" s="122">
        <v>10.02</v>
      </c>
      <c r="AA21" s="2"/>
      <c r="AB21" s="2"/>
      <c r="AC21" s="2"/>
      <c r="AD21" s="2"/>
      <c r="AE21" s="2"/>
      <c r="AF21" s="115">
        <v>1.375</v>
      </c>
      <c r="AG21" s="116"/>
      <c r="AH21" s="117">
        <v>1.2769999999999999</v>
      </c>
    </row>
    <row r="22" spans="1:34" ht="15.75" thickBot="1" x14ac:dyDescent="0.3">
      <c r="A22" s="2"/>
      <c r="B22" s="2"/>
      <c r="C22" s="2"/>
      <c r="D22" s="2"/>
      <c r="E22" s="10" t="s">
        <v>69</v>
      </c>
      <c r="F22" s="11" t="s">
        <v>67</v>
      </c>
      <c r="G22" s="10">
        <v>4.3</v>
      </c>
      <c r="I22" s="10" t="s">
        <v>82</v>
      </c>
      <c r="J22" s="10" t="s">
        <v>112</v>
      </c>
      <c r="L22" s="98">
        <v>0.25</v>
      </c>
      <c r="M22" s="103">
        <v>80</v>
      </c>
      <c r="N22" s="91">
        <v>0.30199999999999999</v>
      </c>
      <c r="O22" s="102"/>
      <c r="P22" s="98">
        <f t="shared" ref="P22:P36" si="0">P6</f>
        <v>0.75</v>
      </c>
      <c r="Q22" s="103">
        <v>80</v>
      </c>
      <c r="R22" s="91">
        <v>0.74199999999999999</v>
      </c>
      <c r="T22" s="282" t="s">
        <v>211</v>
      </c>
      <c r="U22" s="282"/>
      <c r="V22" s="282"/>
      <c r="X22" s="142">
        <v>12</v>
      </c>
      <c r="Y22" s="138" t="s">
        <v>30</v>
      </c>
      <c r="Z22" s="143">
        <v>12</v>
      </c>
      <c r="AA22" s="2"/>
      <c r="AB22" s="2"/>
      <c r="AC22" s="2"/>
      <c r="AD22" s="2"/>
      <c r="AE22" s="2"/>
      <c r="AF22" s="118">
        <v>1.4379999999999999</v>
      </c>
      <c r="AG22" s="116"/>
      <c r="AH22" s="119">
        <v>1.1259999999999999</v>
      </c>
    </row>
    <row r="23" spans="1:34" ht="15.75" thickBot="1" x14ac:dyDescent="0.3">
      <c r="A23" s="2"/>
      <c r="B23" s="2"/>
      <c r="C23" s="2"/>
      <c r="D23" s="2"/>
      <c r="E23" s="12" t="s">
        <v>69</v>
      </c>
      <c r="F23" s="13" t="s">
        <v>68</v>
      </c>
      <c r="G23" s="12">
        <v>21</v>
      </c>
      <c r="I23" s="12" t="s">
        <v>86</v>
      </c>
      <c r="J23" s="12" t="s">
        <v>113</v>
      </c>
      <c r="L23" s="98">
        <v>0.375</v>
      </c>
      <c r="M23" s="103">
        <v>80</v>
      </c>
      <c r="N23" s="91">
        <v>0.42299999999999999</v>
      </c>
      <c r="O23" s="102"/>
      <c r="P23" s="98">
        <f t="shared" si="0"/>
        <v>1</v>
      </c>
      <c r="Q23" s="103">
        <v>80</v>
      </c>
      <c r="R23" s="91">
        <v>0.95699999999999996</v>
      </c>
      <c r="T23" s="139" t="s">
        <v>155</v>
      </c>
      <c r="U23" s="140" t="s">
        <v>91</v>
      </c>
      <c r="V23" s="141" t="s">
        <v>157</v>
      </c>
      <c r="AA23" s="2"/>
      <c r="AB23" s="2"/>
      <c r="AC23" s="2"/>
      <c r="AD23" s="2"/>
      <c r="AE23" s="2"/>
      <c r="AF23" s="120">
        <v>1.5</v>
      </c>
      <c r="AG23" s="116"/>
      <c r="AH23" s="122">
        <v>1.4019999999999999</v>
      </c>
    </row>
    <row r="24" spans="1:34" ht="15.75" thickBot="1" x14ac:dyDescent="0.3">
      <c r="A24" s="2"/>
      <c r="B24" s="2"/>
      <c r="C24" s="2"/>
      <c r="D24" s="2"/>
      <c r="E24" s="10" t="s">
        <v>70</v>
      </c>
      <c r="F24" s="11" t="s">
        <v>65</v>
      </c>
      <c r="G24" s="10">
        <v>6</v>
      </c>
      <c r="I24" s="10" t="s">
        <v>87</v>
      </c>
      <c r="J24" s="10" t="s">
        <v>114</v>
      </c>
      <c r="L24" s="98">
        <v>0.5</v>
      </c>
      <c r="M24" s="103">
        <v>80</v>
      </c>
      <c r="N24" s="91">
        <v>0.54600000000000004</v>
      </c>
      <c r="O24" s="102"/>
      <c r="P24" s="98">
        <f t="shared" si="0"/>
        <v>1.25</v>
      </c>
      <c r="Q24" s="103">
        <v>80</v>
      </c>
      <c r="R24" s="91">
        <v>0.1278</v>
      </c>
      <c r="T24" s="125">
        <v>0.5</v>
      </c>
      <c r="U24" s="126" t="s">
        <v>207</v>
      </c>
      <c r="V24" s="127">
        <v>0.876</v>
      </c>
      <c r="AA24" s="2"/>
      <c r="AB24" s="2"/>
      <c r="AC24" s="2"/>
      <c r="AD24" s="2"/>
      <c r="AE24" s="2"/>
      <c r="AF24" s="118">
        <v>1.5629999999999999</v>
      </c>
      <c r="AG24" s="116"/>
      <c r="AH24" s="119">
        <v>1.4330000000000001</v>
      </c>
    </row>
    <row r="25" spans="1:34" ht="15.75" thickBot="1" x14ac:dyDescent="0.3">
      <c r="A25" s="2"/>
      <c r="B25" s="2"/>
      <c r="C25" s="2"/>
      <c r="D25" s="2"/>
      <c r="E25" s="12" t="s">
        <v>70</v>
      </c>
      <c r="F25" s="13" t="s">
        <v>67</v>
      </c>
      <c r="G25" s="12">
        <v>9.5</v>
      </c>
      <c r="L25" s="98">
        <v>0.75</v>
      </c>
      <c r="M25" s="103">
        <v>80</v>
      </c>
      <c r="N25" s="91">
        <v>0.74199999999999999</v>
      </c>
      <c r="O25" s="102"/>
      <c r="P25" s="98">
        <f t="shared" si="0"/>
        <v>1.5</v>
      </c>
      <c r="Q25" s="103">
        <v>80</v>
      </c>
      <c r="R25" s="91">
        <v>1.5</v>
      </c>
      <c r="T25" s="128">
        <v>0.5</v>
      </c>
      <c r="U25" s="129" t="s">
        <v>208</v>
      </c>
      <c r="V25" s="130">
        <v>1.012</v>
      </c>
      <c r="AA25" s="2"/>
      <c r="AB25" s="2"/>
      <c r="AC25" s="2"/>
      <c r="AD25" s="2"/>
      <c r="AE25" s="2"/>
      <c r="AF25" s="120">
        <v>1.625</v>
      </c>
      <c r="AG25" s="116"/>
      <c r="AH25" s="122">
        <v>1.5089999999999999</v>
      </c>
    </row>
    <row r="26" spans="1:34" ht="15.75" thickBot="1" x14ac:dyDescent="0.3">
      <c r="A26" s="2"/>
      <c r="B26" s="2"/>
      <c r="C26" s="2"/>
      <c r="D26" s="2"/>
      <c r="E26" s="10" t="s">
        <v>71</v>
      </c>
      <c r="F26" s="11" t="s">
        <v>65</v>
      </c>
      <c r="G26" s="10">
        <v>6</v>
      </c>
      <c r="L26" s="98">
        <v>1</v>
      </c>
      <c r="M26" s="103">
        <v>80</v>
      </c>
      <c r="N26" s="91">
        <v>0.95699999999999996</v>
      </c>
      <c r="O26" s="102"/>
      <c r="P26" s="98">
        <f t="shared" si="0"/>
        <v>2</v>
      </c>
      <c r="Q26" s="103">
        <v>80</v>
      </c>
      <c r="R26" s="91">
        <v>1.9390000000000001</v>
      </c>
      <c r="T26" s="131">
        <v>0.625</v>
      </c>
      <c r="U26" s="132" t="s">
        <v>209</v>
      </c>
      <c r="V26" s="133">
        <v>1.0189999999999999</v>
      </c>
      <c r="AA26" s="2"/>
      <c r="AB26" s="2"/>
      <c r="AC26" s="2"/>
      <c r="AD26" s="2"/>
      <c r="AE26" s="2"/>
      <c r="AF26" s="118">
        <v>1.6879999999999999</v>
      </c>
      <c r="AG26" s="116"/>
      <c r="AH26" s="119">
        <v>1.448</v>
      </c>
    </row>
    <row r="27" spans="1:34" ht="15.75" thickBot="1" x14ac:dyDescent="0.3">
      <c r="A27" s="2"/>
      <c r="B27" s="2"/>
      <c r="C27" s="2"/>
      <c r="D27" s="2"/>
      <c r="E27" s="12" t="s">
        <v>71</v>
      </c>
      <c r="F27" s="13" t="s">
        <v>67</v>
      </c>
      <c r="G27" s="12">
        <v>8.5</v>
      </c>
      <c r="L27" s="98">
        <v>1.25</v>
      </c>
      <c r="M27" s="103">
        <v>80</v>
      </c>
      <c r="N27" s="91">
        <v>1.278</v>
      </c>
      <c r="O27" s="102"/>
      <c r="P27" s="98">
        <f t="shared" si="0"/>
        <v>2.5</v>
      </c>
      <c r="Q27" s="103">
        <v>80</v>
      </c>
      <c r="R27" s="91">
        <v>2.323</v>
      </c>
      <c r="T27" s="128">
        <v>0.625</v>
      </c>
      <c r="U27" s="129" t="s">
        <v>207</v>
      </c>
      <c r="V27" s="130">
        <v>1.0820000000000001</v>
      </c>
      <c r="AA27" s="2"/>
      <c r="AB27" s="2"/>
      <c r="AC27" s="2"/>
      <c r="AD27" s="2"/>
      <c r="AE27" s="2"/>
      <c r="AF27" s="120">
        <v>1.75</v>
      </c>
      <c r="AG27" s="116"/>
      <c r="AH27" s="122">
        <v>1.62</v>
      </c>
    </row>
    <row r="28" spans="1:34" ht="15.75" thickBot="1" x14ac:dyDescent="0.3">
      <c r="A28" s="2"/>
      <c r="B28" s="2"/>
      <c r="C28" s="2"/>
      <c r="D28" s="2"/>
      <c r="E28" s="10" t="s">
        <v>72</v>
      </c>
      <c r="F28" s="11" t="s">
        <v>65</v>
      </c>
      <c r="G28" s="10">
        <v>9</v>
      </c>
      <c r="L28" s="98">
        <v>1.5</v>
      </c>
      <c r="M28" s="103">
        <v>80</v>
      </c>
      <c r="N28" s="91">
        <v>1.5</v>
      </c>
      <c r="O28" s="102"/>
      <c r="P28" s="98">
        <f t="shared" si="0"/>
        <v>3</v>
      </c>
      <c r="Q28" s="103">
        <v>80</v>
      </c>
      <c r="R28" s="91">
        <v>2.9</v>
      </c>
      <c r="T28" s="131">
        <v>0.625</v>
      </c>
      <c r="U28" s="132" t="s">
        <v>208</v>
      </c>
      <c r="V28" s="133">
        <v>1.137</v>
      </c>
      <c r="AA28" s="2"/>
      <c r="AB28" s="2"/>
      <c r="AC28" s="2"/>
      <c r="AD28" s="2"/>
      <c r="AE28" s="2"/>
      <c r="AF28" s="123">
        <v>1.875</v>
      </c>
      <c r="AG28" s="116"/>
      <c r="AH28" s="124">
        <v>1.7450000000000001</v>
      </c>
    </row>
    <row r="29" spans="1:34" ht="15.75" thickBot="1" x14ac:dyDescent="0.3">
      <c r="A29" s="2"/>
      <c r="B29" s="2"/>
      <c r="C29" s="2"/>
      <c r="D29" s="2"/>
      <c r="E29" s="12" t="s">
        <v>72</v>
      </c>
      <c r="F29" s="13" t="s">
        <v>66</v>
      </c>
      <c r="G29" s="12">
        <v>13</v>
      </c>
      <c r="L29" s="98">
        <v>2</v>
      </c>
      <c r="M29" s="103">
        <v>80</v>
      </c>
      <c r="N29" s="91">
        <v>1.9390000000000001</v>
      </c>
      <c r="O29" s="102"/>
      <c r="P29" s="98">
        <f t="shared" si="0"/>
        <v>4</v>
      </c>
      <c r="Q29" s="103">
        <v>80</v>
      </c>
      <c r="R29" s="91">
        <v>3.8260000000000001</v>
      </c>
      <c r="T29" s="128">
        <v>0.75</v>
      </c>
      <c r="U29" s="132" t="s">
        <v>209</v>
      </c>
      <c r="V29" s="130">
        <v>1.1559999999999999</v>
      </c>
      <c r="AA29" s="2"/>
      <c r="AB29" s="2"/>
      <c r="AC29" s="2"/>
      <c r="AD29" s="2"/>
      <c r="AE29" s="2"/>
      <c r="AF29" s="115">
        <v>2</v>
      </c>
      <c r="AG29" s="116"/>
      <c r="AH29" s="117">
        <v>1.343</v>
      </c>
    </row>
    <row r="30" spans="1:34" ht="15.75" thickBot="1" x14ac:dyDescent="0.3">
      <c r="A30" s="2"/>
      <c r="B30" s="2"/>
      <c r="C30" s="2"/>
      <c r="D30" s="2"/>
      <c r="E30" s="10" t="s">
        <v>72</v>
      </c>
      <c r="F30" s="11" t="s">
        <v>67</v>
      </c>
      <c r="G30" s="10">
        <v>36</v>
      </c>
      <c r="L30" s="98">
        <v>2.5</v>
      </c>
      <c r="M30" s="103">
        <v>80</v>
      </c>
      <c r="N30" s="91">
        <v>2.323</v>
      </c>
      <c r="O30" s="102"/>
      <c r="P30" s="98">
        <f t="shared" si="0"/>
        <v>5</v>
      </c>
      <c r="Q30" s="103">
        <v>80</v>
      </c>
      <c r="R30" s="91">
        <v>4.8129999999999997</v>
      </c>
      <c r="T30" s="131">
        <v>0.75</v>
      </c>
      <c r="U30" s="129" t="s">
        <v>207</v>
      </c>
      <c r="V30" s="133">
        <v>1.212</v>
      </c>
      <c r="AA30" s="2"/>
      <c r="AB30" s="2"/>
      <c r="AC30" s="2"/>
      <c r="AD30" s="2"/>
      <c r="AE30" s="2"/>
      <c r="AF30" s="118">
        <v>2.125</v>
      </c>
      <c r="AG30" s="116"/>
      <c r="AH30" s="119">
        <v>1.43</v>
      </c>
    </row>
    <row r="31" spans="1:34" ht="15.75" thickBot="1" x14ac:dyDescent="0.3">
      <c r="A31" s="2"/>
      <c r="B31" s="2"/>
      <c r="C31" s="2"/>
      <c r="D31" s="2"/>
      <c r="E31" s="12" t="s">
        <v>72</v>
      </c>
      <c r="F31" s="13" t="s">
        <v>68</v>
      </c>
      <c r="G31" s="12">
        <v>112</v>
      </c>
      <c r="L31" s="98">
        <v>3</v>
      </c>
      <c r="M31" s="103">
        <v>80</v>
      </c>
      <c r="N31" s="91">
        <v>2.9</v>
      </c>
      <c r="O31" s="102"/>
      <c r="P31" s="98">
        <f t="shared" si="0"/>
        <v>6</v>
      </c>
      <c r="Q31" s="103">
        <v>80</v>
      </c>
      <c r="R31" s="91">
        <v>5.7610000000000001</v>
      </c>
      <c r="T31" s="128">
        <v>0.75</v>
      </c>
      <c r="U31" s="132" t="s">
        <v>208</v>
      </c>
      <c r="V31" s="130">
        <v>1.3360000000000001</v>
      </c>
      <c r="AA31" s="2"/>
      <c r="AB31" s="2"/>
      <c r="AC31" s="2"/>
      <c r="AD31" s="2"/>
      <c r="AE31" s="2"/>
      <c r="AF31" s="120">
        <v>2.25</v>
      </c>
      <c r="AG31" s="116"/>
      <c r="AH31" s="122">
        <v>1.5169999999999999</v>
      </c>
    </row>
    <row r="32" spans="1:34" ht="15.75" thickBot="1" x14ac:dyDescent="0.3">
      <c r="A32" s="2"/>
      <c r="B32" s="2"/>
      <c r="C32" s="2"/>
      <c r="D32" s="2"/>
      <c r="E32" s="10" t="s">
        <v>73</v>
      </c>
      <c r="F32" s="11" t="s">
        <v>65</v>
      </c>
      <c r="G32" s="10">
        <v>2</v>
      </c>
      <c r="L32" s="98">
        <v>3.5</v>
      </c>
      <c r="M32" s="103">
        <v>80</v>
      </c>
      <c r="N32" s="91">
        <v>3.3639999999999999</v>
      </c>
      <c r="O32" s="102"/>
      <c r="P32" s="98">
        <f t="shared" si="0"/>
        <v>8</v>
      </c>
      <c r="Q32" s="103">
        <v>80</v>
      </c>
      <c r="R32" s="91">
        <v>7.625</v>
      </c>
      <c r="T32" s="131">
        <v>1</v>
      </c>
      <c r="U32" s="132" t="s">
        <v>209</v>
      </c>
      <c r="V32" s="133">
        <v>1.4279999999999999</v>
      </c>
      <c r="AA32" s="2"/>
      <c r="AB32" s="2"/>
      <c r="AC32" s="2"/>
      <c r="AD32" s="2"/>
      <c r="AE32" s="2"/>
      <c r="AF32" s="118">
        <v>2.375</v>
      </c>
      <c r="AG32" s="116"/>
      <c r="AH32" s="119">
        <v>1.6040000000000001</v>
      </c>
    </row>
    <row r="33" spans="1:34" ht="15.75" thickBot="1" x14ac:dyDescent="0.3">
      <c r="A33" s="2"/>
      <c r="B33" s="2"/>
      <c r="C33" s="2"/>
      <c r="D33" s="2"/>
      <c r="E33" s="12" t="s">
        <v>74</v>
      </c>
      <c r="F33" s="13" t="s">
        <v>65</v>
      </c>
      <c r="G33" s="12">
        <v>3</v>
      </c>
      <c r="L33" s="98">
        <v>4</v>
      </c>
      <c r="M33" s="103">
        <v>80</v>
      </c>
      <c r="N33" s="91">
        <v>3.8260000000000001</v>
      </c>
      <c r="O33" s="102"/>
      <c r="P33" s="98">
        <f t="shared" si="0"/>
        <v>10</v>
      </c>
      <c r="Q33" s="103">
        <v>80</v>
      </c>
      <c r="R33" s="91">
        <v>9.5640000000000001</v>
      </c>
      <c r="T33" s="128">
        <v>1</v>
      </c>
      <c r="U33" s="129" t="s">
        <v>207</v>
      </c>
      <c r="V33" s="130">
        <v>1.492</v>
      </c>
      <c r="AA33" s="2"/>
      <c r="AB33" s="2"/>
      <c r="AC33" s="2"/>
      <c r="AD33" s="2"/>
      <c r="AE33" s="2"/>
      <c r="AF33" s="120">
        <v>2.5</v>
      </c>
      <c r="AG33" s="116"/>
      <c r="AH33" s="122">
        <v>1.69</v>
      </c>
    </row>
    <row r="34" spans="1:34" ht="15.75" thickBot="1" x14ac:dyDescent="0.3">
      <c r="E34" s="10" t="s">
        <v>75</v>
      </c>
      <c r="F34" s="11" t="s">
        <v>76</v>
      </c>
      <c r="G34" s="10">
        <v>0.05</v>
      </c>
      <c r="L34" s="98">
        <v>5</v>
      </c>
      <c r="M34" s="103">
        <v>80</v>
      </c>
      <c r="N34" s="91">
        <v>4.8122999999999996</v>
      </c>
      <c r="O34" s="102"/>
      <c r="P34" s="98">
        <f t="shared" si="0"/>
        <v>12</v>
      </c>
      <c r="Q34" s="103">
        <v>80</v>
      </c>
      <c r="R34" s="91">
        <v>11.375999999999999</v>
      </c>
      <c r="T34" s="131">
        <v>1</v>
      </c>
      <c r="U34" s="132" t="s">
        <v>208</v>
      </c>
      <c r="V34" s="133">
        <v>1.5960000000000001</v>
      </c>
      <c r="AF34" s="118">
        <v>2.625</v>
      </c>
      <c r="AG34" s="116"/>
      <c r="AH34" s="119">
        <v>1.7769999999999999</v>
      </c>
    </row>
    <row r="35" spans="1:34" ht="15.75" thickBot="1" x14ac:dyDescent="0.3">
      <c r="E35" s="12" t="s">
        <v>75</v>
      </c>
      <c r="F35" s="13" t="s">
        <v>77</v>
      </c>
      <c r="G35" s="12">
        <v>0.28999999999999998</v>
      </c>
      <c r="L35" s="98">
        <v>6</v>
      </c>
      <c r="M35" s="103">
        <v>80</v>
      </c>
      <c r="N35" s="91">
        <v>5.7610000000000001</v>
      </c>
      <c r="O35" s="102"/>
      <c r="P35" s="98">
        <f t="shared" si="0"/>
        <v>14</v>
      </c>
      <c r="Q35" s="103">
        <v>80</v>
      </c>
      <c r="R35" s="91">
        <v>12.5</v>
      </c>
      <c r="T35" s="128">
        <v>1.25</v>
      </c>
      <c r="U35" s="132" t="s">
        <v>209</v>
      </c>
      <c r="V35" s="130">
        <v>1.7649999999999999</v>
      </c>
      <c r="AF35" s="120">
        <v>2.75</v>
      </c>
      <c r="AG35" s="116"/>
      <c r="AH35" s="122">
        <v>1.8640000000000001</v>
      </c>
    </row>
    <row r="36" spans="1:34" ht="15.75" thickBot="1" x14ac:dyDescent="0.3">
      <c r="E36" s="10" t="s">
        <v>75</v>
      </c>
      <c r="F36" s="11" t="s">
        <v>78</v>
      </c>
      <c r="G36" s="10">
        <v>1.56</v>
      </c>
      <c r="L36" s="105">
        <v>8</v>
      </c>
      <c r="M36" s="106">
        <v>80</v>
      </c>
      <c r="N36" s="107">
        <v>7.625</v>
      </c>
      <c r="O36" s="102"/>
      <c r="P36" s="99">
        <f t="shared" si="0"/>
        <v>16</v>
      </c>
      <c r="Q36" s="104">
        <v>80</v>
      </c>
      <c r="R36" s="95">
        <v>14.314</v>
      </c>
      <c r="T36" s="131">
        <v>1.5</v>
      </c>
      <c r="U36" s="129" t="s">
        <v>207</v>
      </c>
      <c r="V36" s="133">
        <v>2.0760000000000001</v>
      </c>
      <c r="AF36" s="136">
        <v>2.875</v>
      </c>
      <c r="AG36" s="116"/>
      <c r="AH36" s="137">
        <v>1.9510000000000001</v>
      </c>
    </row>
    <row r="37" spans="1:34" ht="15.75" thickBot="1" x14ac:dyDescent="0.3">
      <c r="E37" s="12" t="s">
        <v>75</v>
      </c>
      <c r="F37" s="13" t="s">
        <v>79</v>
      </c>
      <c r="G37" s="12">
        <v>17.3</v>
      </c>
      <c r="L37" s="97">
        <v>10</v>
      </c>
      <c r="M37" s="100">
        <v>40</v>
      </c>
      <c r="N37" s="101">
        <v>10.02</v>
      </c>
      <c r="T37" s="128">
        <v>2</v>
      </c>
      <c r="U37" s="132" t="s">
        <v>208</v>
      </c>
      <c r="V37" s="130">
        <v>2.7509999999999999</v>
      </c>
      <c r="AF37" s="115">
        <v>3</v>
      </c>
      <c r="AG37" s="116"/>
      <c r="AH37" s="117">
        <v>2.87</v>
      </c>
    </row>
    <row r="38" spans="1:34" ht="15.75" thickBot="1" x14ac:dyDescent="0.3">
      <c r="E38" s="10" t="s">
        <v>75</v>
      </c>
      <c r="F38" s="11" t="s">
        <v>80</v>
      </c>
      <c r="G38" s="10">
        <v>206</v>
      </c>
      <c r="L38" s="98">
        <v>12</v>
      </c>
      <c r="M38" s="103">
        <v>40</v>
      </c>
      <c r="N38" s="91">
        <v>11.94</v>
      </c>
      <c r="R38" s="2"/>
      <c r="S38" s="2"/>
      <c r="T38" s="2"/>
      <c r="U38" s="2"/>
      <c r="V38" s="2"/>
      <c r="W38" s="2"/>
      <c r="X38" s="2"/>
      <c r="AF38" s="118">
        <v>3.125</v>
      </c>
      <c r="AG38" s="116"/>
      <c r="AH38" s="119">
        <v>2.9950000000000001</v>
      </c>
    </row>
    <row r="39" spans="1:34" ht="15.75" thickBot="1" x14ac:dyDescent="0.3">
      <c r="E39" s="12" t="s">
        <v>81</v>
      </c>
      <c r="F39" s="13" t="s">
        <v>76</v>
      </c>
      <c r="G39" s="12">
        <v>0.24</v>
      </c>
      <c r="L39" s="98">
        <v>14</v>
      </c>
      <c r="M39" s="103">
        <v>40</v>
      </c>
      <c r="N39" s="91">
        <v>13.13</v>
      </c>
      <c r="R39" s="2"/>
      <c r="S39" s="2"/>
      <c r="T39" s="2"/>
      <c r="U39" s="2"/>
      <c r="V39" s="2"/>
      <c r="W39" s="2"/>
      <c r="X39" s="2"/>
      <c r="AF39" s="120">
        <v>3.25</v>
      </c>
      <c r="AG39" s="116"/>
      <c r="AH39" s="122">
        <v>3.12</v>
      </c>
    </row>
    <row r="40" spans="1:34" ht="15.75" thickBot="1" x14ac:dyDescent="0.3">
      <c r="E40" s="10" t="s">
        <v>81</v>
      </c>
      <c r="F40" s="11" t="s">
        <v>77</v>
      </c>
      <c r="G40" s="10">
        <v>0.52</v>
      </c>
      <c r="L40" s="98">
        <v>16</v>
      </c>
      <c r="M40" s="103">
        <v>40</v>
      </c>
      <c r="N40" s="91">
        <v>15</v>
      </c>
      <c r="R40" s="2"/>
      <c r="S40" s="2"/>
      <c r="T40" s="2"/>
      <c r="U40" s="2"/>
      <c r="V40" s="2"/>
      <c r="W40" s="2"/>
      <c r="X40" s="2"/>
      <c r="AF40" s="118">
        <v>3.375</v>
      </c>
      <c r="AG40" s="116"/>
      <c r="AH40" s="119">
        <v>3.1349999999999998</v>
      </c>
    </row>
    <row r="41" spans="1:34" ht="15.75" thickBot="1" x14ac:dyDescent="0.3">
      <c r="E41" s="12" t="s">
        <v>81</v>
      </c>
      <c r="F41" s="13" t="s">
        <v>78</v>
      </c>
      <c r="G41" s="12">
        <v>1.54</v>
      </c>
      <c r="L41" s="98">
        <v>18</v>
      </c>
      <c r="M41" s="103">
        <v>40</v>
      </c>
      <c r="N41" s="91">
        <v>16.88</v>
      </c>
      <c r="R41" s="2"/>
      <c r="S41" s="2"/>
      <c r="T41" s="2"/>
      <c r="U41" s="2"/>
      <c r="V41" s="2"/>
      <c r="W41" s="2"/>
      <c r="X41" s="2"/>
      <c r="AF41" s="120">
        <v>3.5</v>
      </c>
      <c r="AG41" s="116"/>
      <c r="AH41" s="122">
        <v>3.37</v>
      </c>
    </row>
    <row r="42" spans="1:34" ht="15.75" thickBot="1" x14ac:dyDescent="0.3">
      <c r="E42" s="10" t="s">
        <v>81</v>
      </c>
      <c r="F42" s="11" t="s">
        <v>79</v>
      </c>
      <c r="G42" s="10">
        <v>10.8</v>
      </c>
      <c r="L42" s="98">
        <v>20</v>
      </c>
      <c r="M42" s="103">
        <v>40</v>
      </c>
      <c r="N42" s="91">
        <v>18.809999999999999</v>
      </c>
      <c r="AF42" s="118">
        <v>3.625</v>
      </c>
      <c r="AG42" s="116"/>
      <c r="AH42" s="119">
        <v>3.3849999999999998</v>
      </c>
    </row>
    <row r="43" spans="1:34" ht="15.75" thickBot="1" x14ac:dyDescent="0.3">
      <c r="E43" s="12" t="s">
        <v>81</v>
      </c>
      <c r="F43" s="13" t="s">
        <v>80</v>
      </c>
      <c r="G43" s="12">
        <v>118</v>
      </c>
      <c r="L43" s="99">
        <v>24</v>
      </c>
      <c r="M43" s="104">
        <v>40</v>
      </c>
      <c r="N43" s="95">
        <v>22.63</v>
      </c>
      <c r="AF43" s="120">
        <v>3.75</v>
      </c>
      <c r="AG43" s="116"/>
      <c r="AH43" s="122">
        <v>3.56</v>
      </c>
    </row>
    <row r="44" spans="1:34" ht="15.75" thickBot="1" x14ac:dyDescent="0.3">
      <c r="E44" s="10" t="s">
        <v>82</v>
      </c>
      <c r="F44" s="11" t="s">
        <v>83</v>
      </c>
      <c r="G44" s="10">
        <v>2</v>
      </c>
      <c r="L44" s="97">
        <v>10</v>
      </c>
      <c r="M44" s="100">
        <v>80</v>
      </c>
      <c r="N44" s="101">
        <v>9.56</v>
      </c>
      <c r="AF44" s="123">
        <v>3.875</v>
      </c>
      <c r="AG44" s="116"/>
      <c r="AH44" s="124">
        <v>3.5</v>
      </c>
    </row>
    <row r="45" spans="1:34" ht="15.75" thickBot="1" x14ac:dyDescent="0.3">
      <c r="E45" s="12" t="s">
        <v>82</v>
      </c>
      <c r="F45" s="13" t="s">
        <v>84</v>
      </c>
      <c r="G45" s="12">
        <v>10</v>
      </c>
      <c r="L45" s="98">
        <v>12</v>
      </c>
      <c r="M45" s="103">
        <v>80</v>
      </c>
      <c r="N45" s="91">
        <v>11.38</v>
      </c>
      <c r="AF45" s="115">
        <v>4</v>
      </c>
      <c r="AG45" s="116"/>
      <c r="AH45" s="117">
        <f t="shared" ref="AH45:AH46" si="1">AF45-0.065</f>
        <v>3.9350000000000001</v>
      </c>
    </row>
    <row r="46" spans="1:34" ht="15.75" thickBot="1" x14ac:dyDescent="0.3">
      <c r="E46" s="10" t="s">
        <v>82</v>
      </c>
      <c r="F46" s="11" t="s">
        <v>85</v>
      </c>
      <c r="G46" s="10">
        <v>70</v>
      </c>
      <c r="L46" s="98">
        <v>14</v>
      </c>
      <c r="M46" s="103">
        <v>80</v>
      </c>
      <c r="N46" s="91">
        <v>12.5</v>
      </c>
      <c r="AF46" s="118">
        <v>4.0949999999999998</v>
      </c>
      <c r="AG46" s="116"/>
      <c r="AH46" s="119">
        <f t="shared" si="1"/>
        <v>4.0299999999999994</v>
      </c>
    </row>
    <row r="47" spans="1:34" ht="15.75" thickBot="1" x14ac:dyDescent="0.3">
      <c r="E47" s="12" t="s">
        <v>86</v>
      </c>
      <c r="F47" s="13"/>
      <c r="G47" s="12">
        <v>15</v>
      </c>
      <c r="L47" s="98">
        <v>16</v>
      </c>
      <c r="M47" s="103">
        <v>80</v>
      </c>
      <c r="N47" s="91">
        <v>14.31</v>
      </c>
      <c r="AF47" s="120">
        <v>4.125</v>
      </c>
      <c r="AG47" s="116"/>
      <c r="AH47" s="122">
        <v>3.75</v>
      </c>
    </row>
    <row r="48" spans="1:34" ht="15.75" thickBot="1" x14ac:dyDescent="0.3">
      <c r="E48" s="10" t="s">
        <v>87</v>
      </c>
      <c r="F48" s="11" t="s">
        <v>84</v>
      </c>
      <c r="G48" s="10">
        <v>7</v>
      </c>
      <c r="L48" s="98">
        <v>18</v>
      </c>
      <c r="M48" s="103">
        <v>80</v>
      </c>
      <c r="N48" s="91">
        <v>16.13</v>
      </c>
      <c r="AF48" s="118">
        <v>4.25</v>
      </c>
      <c r="AG48" s="116"/>
      <c r="AH48" s="119">
        <v>4.0599999999999996</v>
      </c>
    </row>
    <row r="49" spans="2:34" ht="15.75" thickBot="1" x14ac:dyDescent="0.3">
      <c r="E49" s="12" t="s">
        <v>87</v>
      </c>
      <c r="F49" s="13" t="s">
        <v>88</v>
      </c>
      <c r="G49" s="12">
        <v>15</v>
      </c>
      <c r="L49" s="98">
        <v>20</v>
      </c>
      <c r="M49" s="103">
        <v>80</v>
      </c>
      <c r="N49" s="91">
        <v>17.940000000000001</v>
      </c>
      <c r="AF49" s="120">
        <v>4.375</v>
      </c>
      <c r="AG49" s="116"/>
      <c r="AH49" s="122">
        <v>4</v>
      </c>
    </row>
    <row r="50" spans="2:34" ht="15.75" thickBot="1" x14ac:dyDescent="0.3">
      <c r="E50" s="10" t="s">
        <v>87</v>
      </c>
      <c r="F50" s="11" t="s">
        <v>89</v>
      </c>
      <c r="G50" s="10">
        <v>10</v>
      </c>
      <c r="L50" s="99">
        <v>24</v>
      </c>
      <c r="M50" s="104">
        <v>80</v>
      </c>
      <c r="N50" s="95">
        <v>21.56</v>
      </c>
      <c r="AF50" s="118">
        <v>4.5</v>
      </c>
      <c r="AG50" s="116"/>
      <c r="AH50" s="119">
        <v>4.3099999999999996</v>
      </c>
    </row>
    <row r="51" spans="2:34" ht="15.75" thickBot="1" x14ac:dyDescent="0.3">
      <c r="E51" s="12" t="s">
        <v>87</v>
      </c>
      <c r="F51" s="13" t="s">
        <v>90</v>
      </c>
      <c r="G51" s="12">
        <v>6</v>
      </c>
      <c r="AF51" s="120">
        <v>4.59</v>
      </c>
      <c r="AG51" s="116"/>
      <c r="AH51" s="122">
        <v>4.2300000000000004</v>
      </c>
    </row>
    <row r="52" spans="2:34" ht="15.75" thickBot="1" x14ac:dyDescent="0.3">
      <c r="AF52" s="136">
        <v>4.625</v>
      </c>
      <c r="AG52" s="116"/>
      <c r="AH52" s="137">
        <v>4.25</v>
      </c>
    </row>
    <row r="53" spans="2:34" ht="15.75" thickBot="1" x14ac:dyDescent="0.3">
      <c r="AF53" s="115">
        <v>4.75</v>
      </c>
      <c r="AG53" s="116"/>
      <c r="AH53" s="117">
        <v>4.5</v>
      </c>
    </row>
    <row r="54" spans="2:34" ht="15.75" thickBot="1" x14ac:dyDescent="0.3">
      <c r="AF54" s="118">
        <v>4.875</v>
      </c>
      <c r="AG54" s="116"/>
      <c r="AH54" s="119">
        <v>4.375</v>
      </c>
    </row>
    <row r="55" spans="2:34" ht="15.75" thickBot="1" x14ac:dyDescent="0.3">
      <c r="B55" s="287" t="s">
        <v>241</v>
      </c>
      <c r="C55" s="288"/>
      <c r="D55" s="288"/>
      <c r="E55" s="288"/>
      <c r="F55" s="289"/>
      <c r="AF55" s="120">
        <v>5</v>
      </c>
      <c r="AG55" s="116"/>
      <c r="AH55" s="122"/>
    </row>
    <row r="56" spans="2:34" ht="15.75" thickBot="1" x14ac:dyDescent="0.3">
      <c r="B56" s="286" t="s">
        <v>242</v>
      </c>
      <c r="C56" s="286"/>
      <c r="E56" s="286" t="s">
        <v>245</v>
      </c>
      <c r="F56" s="286"/>
      <c r="AF56" s="118">
        <v>5.125</v>
      </c>
      <c r="AG56" s="116"/>
      <c r="AH56" s="119">
        <v>4.5</v>
      </c>
    </row>
    <row r="57" spans="2:34" ht="15.75" thickBot="1" x14ac:dyDescent="0.3">
      <c r="B57" s="3" t="s">
        <v>243</v>
      </c>
      <c r="C57" s="3" t="s">
        <v>244</v>
      </c>
      <c r="E57" s="3" t="s">
        <v>243</v>
      </c>
      <c r="F57" s="3" t="s">
        <v>244</v>
      </c>
      <c r="AF57" s="120">
        <v>5.25</v>
      </c>
      <c r="AG57" s="116"/>
      <c r="AH57" s="122">
        <v>5.01</v>
      </c>
    </row>
    <row r="58" spans="2:34" ht="15.75" thickBot="1" x14ac:dyDescent="0.3">
      <c r="B58" s="3">
        <v>0</v>
      </c>
      <c r="C58" s="3">
        <v>225</v>
      </c>
      <c r="E58" s="3">
        <v>0</v>
      </c>
      <c r="F58" s="3">
        <v>165</v>
      </c>
      <c r="AF58" s="118">
        <v>5.5</v>
      </c>
      <c r="AG58" s="116"/>
      <c r="AH58" s="119">
        <v>5.26</v>
      </c>
    </row>
    <row r="59" spans="2:34" ht="15.75" thickBot="1" x14ac:dyDescent="0.3">
      <c r="B59" s="3">
        <v>0.2</v>
      </c>
      <c r="C59" s="3">
        <v>223</v>
      </c>
      <c r="E59" s="3">
        <v>1</v>
      </c>
      <c r="F59" s="3">
        <v>165</v>
      </c>
      <c r="AF59" s="120">
        <v>5.5629999999999997</v>
      </c>
      <c r="AG59" s="116"/>
      <c r="AH59" s="122">
        <v>4.5629999999999997</v>
      </c>
    </row>
    <row r="60" spans="2:34" ht="15.75" thickBot="1" x14ac:dyDescent="0.3">
      <c r="B60" s="3">
        <v>0.4</v>
      </c>
      <c r="C60" s="3">
        <v>222</v>
      </c>
      <c r="E60" s="3">
        <v>2</v>
      </c>
      <c r="F60" s="3">
        <v>165</v>
      </c>
      <c r="AF60" s="123">
        <v>5.75</v>
      </c>
      <c r="AG60" s="116"/>
      <c r="AH60" s="124">
        <v>5.51</v>
      </c>
    </row>
    <row r="61" spans="2:34" ht="15.75" thickBot="1" x14ac:dyDescent="0.3">
      <c r="B61" s="3">
        <v>0.6</v>
      </c>
      <c r="C61" s="3">
        <v>216</v>
      </c>
      <c r="E61" s="3">
        <v>3</v>
      </c>
      <c r="F61" s="3">
        <v>164</v>
      </c>
      <c r="AF61" s="115">
        <v>6</v>
      </c>
      <c r="AG61" s="116"/>
      <c r="AH61" s="117">
        <v>5.8339999999999996</v>
      </c>
    </row>
    <row r="62" spans="2:34" ht="15.75" thickBot="1" x14ac:dyDescent="0.3">
      <c r="B62" s="3">
        <v>0.8</v>
      </c>
      <c r="C62" s="3">
        <v>203</v>
      </c>
      <c r="E62" s="3">
        <v>4</v>
      </c>
      <c r="F62" s="3">
        <v>160</v>
      </c>
      <c r="AF62" s="118">
        <v>6.25</v>
      </c>
      <c r="AG62" s="116"/>
      <c r="AH62" s="119">
        <v>7.8559999999999999</v>
      </c>
    </row>
    <row r="63" spans="2:34" ht="15.75" thickBot="1" x14ac:dyDescent="0.3">
      <c r="B63" s="3">
        <v>1</v>
      </c>
      <c r="C63" s="3">
        <v>170</v>
      </c>
      <c r="E63" s="3">
        <v>5</v>
      </c>
      <c r="F63" s="3">
        <v>150</v>
      </c>
      <c r="AF63" s="120">
        <v>6.5</v>
      </c>
      <c r="AG63" s="116"/>
      <c r="AH63" s="122">
        <v>6</v>
      </c>
    </row>
    <row r="64" spans="2:34" ht="15.75" thickBot="1" x14ac:dyDescent="0.3">
      <c r="B64" s="3">
        <v>1.1000000000000001</v>
      </c>
      <c r="C64" s="3">
        <v>130</v>
      </c>
      <c r="E64" s="3">
        <v>5.55</v>
      </c>
      <c r="F64" s="3">
        <v>140</v>
      </c>
      <c r="AF64" s="118">
        <v>6.25</v>
      </c>
      <c r="AG64" s="116"/>
      <c r="AH64" s="119">
        <v>6</v>
      </c>
    </row>
    <row r="65" spans="2:34" x14ac:dyDescent="0.25">
      <c r="B65" s="3">
        <v>1.2</v>
      </c>
      <c r="C65" s="3">
        <v>75</v>
      </c>
      <c r="E65" s="3">
        <v>6</v>
      </c>
      <c r="F65" s="3">
        <v>123</v>
      </c>
      <c r="AF65" s="120">
        <v>6.75</v>
      </c>
      <c r="AG65" s="116"/>
      <c r="AH65" s="122">
        <v>6.25</v>
      </c>
    </row>
    <row r="66" spans="2:34" x14ac:dyDescent="0.25">
      <c r="B66" s="3">
        <v>1.3</v>
      </c>
      <c r="C66" s="3">
        <v>0</v>
      </c>
      <c r="E66" s="3">
        <v>7</v>
      </c>
      <c r="F66" s="3">
        <v>50</v>
      </c>
    </row>
    <row r="67" spans="2:34" x14ac:dyDescent="0.25">
      <c r="E67" s="3">
        <v>7.4</v>
      </c>
      <c r="F67" s="3">
        <v>0</v>
      </c>
    </row>
  </sheetData>
  <mergeCells count="17">
    <mergeCell ref="B56:C56"/>
    <mergeCell ref="E56:F56"/>
    <mergeCell ref="B55:F55"/>
    <mergeCell ref="AB2:AD2"/>
    <mergeCell ref="X2:Z2"/>
    <mergeCell ref="B19:C19"/>
    <mergeCell ref="L3:N3"/>
    <mergeCell ref="P3:R3"/>
    <mergeCell ref="T2:V2"/>
    <mergeCell ref="P2:R2"/>
    <mergeCell ref="L2:N2"/>
    <mergeCell ref="AF3:AH3"/>
    <mergeCell ref="T22:V22"/>
    <mergeCell ref="T21:V21"/>
    <mergeCell ref="X3:Z3"/>
    <mergeCell ref="AB3:AD3"/>
    <mergeCell ref="T3:V3"/>
  </mergeCells>
  <hyperlinks>
    <hyperlink ref="B19" r:id="rId1" xr:uid="{00000000-0004-0000-0100-000000000000}"/>
  </hyperlinks>
  <pageMargins left="0.7" right="0.7" top="0.75" bottom="0.75" header="0.3" footer="0.3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AL151"/>
  <sheetViews>
    <sheetView showGridLines="0" tabSelected="1" zoomScale="80" zoomScaleNormal="80" workbookViewId="0">
      <selection activeCell="C86" sqref="C86"/>
    </sheetView>
  </sheetViews>
  <sheetFormatPr defaultRowHeight="15" x14ac:dyDescent="0.25"/>
  <cols>
    <col min="2" max="2" width="23.42578125" bestFit="1" customWidth="1"/>
    <col min="3" max="3" width="32.5703125" bestFit="1" customWidth="1"/>
    <col min="4" max="4" width="50.5703125" bestFit="1" customWidth="1"/>
    <col min="5" max="5" width="34.85546875" bestFit="1" customWidth="1"/>
    <col min="6" max="6" width="43.28515625" bestFit="1" customWidth="1"/>
    <col min="7" max="7" width="23.42578125" bestFit="1" customWidth="1"/>
    <col min="8" max="8" width="24" bestFit="1" customWidth="1"/>
    <col min="9" max="9" width="32" bestFit="1" customWidth="1"/>
    <col min="10" max="10" width="23.42578125" bestFit="1" customWidth="1"/>
    <col min="11" max="11" width="17.28515625" customWidth="1"/>
    <col min="12" max="12" width="16.85546875" bestFit="1" customWidth="1"/>
    <col min="13" max="13" width="21.85546875" bestFit="1" customWidth="1"/>
    <col min="14" max="14" width="25.85546875" bestFit="1" customWidth="1"/>
    <col min="15" max="15" width="34" bestFit="1" customWidth="1"/>
    <col min="16" max="16" width="26.5703125" bestFit="1" customWidth="1"/>
    <col min="17" max="17" width="23" bestFit="1" customWidth="1"/>
    <col min="18" max="18" width="22.7109375" bestFit="1" customWidth="1"/>
    <col min="19" max="21" width="21.85546875" bestFit="1" customWidth="1"/>
    <col min="22" max="22" width="20.42578125" bestFit="1" customWidth="1"/>
    <col min="23" max="23" width="24" bestFit="1" customWidth="1"/>
    <col min="24" max="24" width="23" bestFit="1" customWidth="1"/>
    <col min="25" max="25" width="16.5703125" bestFit="1" customWidth="1"/>
    <col min="37" max="37" width="19.5703125" customWidth="1"/>
    <col min="38" max="38" width="12.5703125" customWidth="1"/>
    <col min="39" max="39" width="12.42578125" customWidth="1"/>
    <col min="40" max="40" width="20.5703125" customWidth="1"/>
    <col min="41" max="41" width="13.5703125" customWidth="1"/>
    <col min="42" max="42" width="12.42578125" customWidth="1"/>
    <col min="43" max="43" width="20.5703125" customWidth="1"/>
    <col min="44" max="44" width="13.5703125" customWidth="1"/>
  </cols>
  <sheetData>
    <row r="1" spans="2:25" ht="15.75" x14ac:dyDescent="0.25">
      <c r="B1" s="84" t="s">
        <v>29</v>
      </c>
      <c r="C1" s="85" t="s">
        <v>146</v>
      </c>
      <c r="D1" s="85" t="s">
        <v>149</v>
      </c>
      <c r="E1" s="85" t="s">
        <v>147</v>
      </c>
      <c r="F1" s="86" t="s">
        <v>148</v>
      </c>
      <c r="G1" s="87" t="s">
        <v>8</v>
      </c>
      <c r="L1" s="19" t="s">
        <v>249</v>
      </c>
      <c r="M1" s="19" t="s">
        <v>218</v>
      </c>
      <c r="N1" s="19" t="s">
        <v>0</v>
      </c>
      <c r="O1" s="19" t="s">
        <v>4</v>
      </c>
      <c r="P1" s="19" t="s">
        <v>5</v>
      </c>
      <c r="Q1" s="19" t="s">
        <v>1</v>
      </c>
      <c r="R1" s="19" t="s">
        <v>2</v>
      </c>
    </row>
    <row r="2" spans="2:25" x14ac:dyDescent="0.25">
      <c r="B2" s="88">
        <v>1</v>
      </c>
      <c r="C2" s="50">
        <f>101.325</f>
        <v>101.325</v>
      </c>
      <c r="D2" s="50">
        <f>(M7*Table6[Density (kg/m3)])/1000</f>
        <v>4.278008453478576E-2</v>
      </c>
      <c r="E2" s="50">
        <f>C2-D2</f>
        <v>101.28221991546522</v>
      </c>
      <c r="F2" s="51">
        <v>100</v>
      </c>
      <c r="G2" s="89">
        <f>Table19[[#This Row],[Pressure out (kPA)]]-Table19[[#This Row],[Objective Pressure (kPa)]]</f>
        <v>1.2822199154652196</v>
      </c>
      <c r="K2" s="68"/>
      <c r="L2" s="64" t="s">
        <v>250</v>
      </c>
      <c r="M2" s="3">
        <v>784.8</v>
      </c>
      <c r="N2" s="3">
        <v>1.7334E-3</v>
      </c>
      <c r="O2" s="54">
        <f>1.096/1000*1.35</f>
        <v>1.4796000000000004E-3</v>
      </c>
      <c r="P2" s="3">
        <f>O2*M2</f>
        <v>1.1611900800000003</v>
      </c>
      <c r="Q2" s="3">
        <v>0.86014080000000004</v>
      </c>
      <c r="R2" s="3">
        <f>1-Q2</f>
        <v>0.13985919999999996</v>
      </c>
    </row>
    <row r="3" spans="2:25" ht="15.75" thickBot="1" x14ac:dyDescent="0.3">
      <c r="B3" s="90">
        <v>2</v>
      </c>
      <c r="C3" s="52">
        <v>101.325</v>
      </c>
      <c r="D3" s="52">
        <f>(M8*Table6[Density (kg/m3)])/1000</f>
        <v>1.4308510410520739E-2</v>
      </c>
      <c r="E3" s="52">
        <f>Table19[[#This Row],[Pressure In (kPa)]]-Table19[[#This Row],[Pressure change in pipe (kPa)]]</f>
        <v>101.31069148958949</v>
      </c>
      <c r="F3" s="51">
        <f>100</f>
        <v>100</v>
      </c>
      <c r="G3" s="91">
        <f>Table19[[#This Row],[Pressure out (kPA)]]-Table19[[#This Row],[Objective Pressure (kPa)]]</f>
        <v>1.3106914895894874</v>
      </c>
      <c r="K3" s="68"/>
    </row>
    <row r="4" spans="2:25" ht="19.5" thickBot="1" x14ac:dyDescent="0.35">
      <c r="B4" s="92">
        <v>3</v>
      </c>
      <c r="C4" s="93">
        <f>E3+137.5</f>
        <v>238.81069148958949</v>
      </c>
      <c r="D4" s="93">
        <f>(M9*Table6[Density (kg/m3)])/1000</f>
        <v>1.8682863330379298E-2</v>
      </c>
      <c r="E4" s="93">
        <f>Table19[[#This Row],[Pressure In (kPa)]]-Table19[[#This Row],[Pressure change in pipe (kPa)]]</f>
        <v>238.7920086262591</v>
      </c>
      <c r="F4" s="94">
        <v>230</v>
      </c>
      <c r="G4" s="95">
        <f>Table19[[#This Row],[Pressure out (kPA)]]-Table19[[#This Row],[Objective Pressure (kPa)]]</f>
        <v>8.7920086262591042</v>
      </c>
      <c r="K4" s="68"/>
      <c r="L4" s="299" t="s">
        <v>115</v>
      </c>
      <c r="M4" s="299"/>
      <c r="N4" s="300"/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1"/>
    </row>
    <row r="5" spans="2:25" ht="34.5" customHeight="1" thickBot="1" x14ac:dyDescent="0.35">
      <c r="B5" s="63"/>
      <c r="C5" s="79"/>
      <c r="D5" s="80"/>
      <c r="E5" s="81"/>
      <c r="F5" s="82"/>
      <c r="G5" s="83"/>
      <c r="K5" s="68"/>
      <c r="L5" s="302" t="s">
        <v>32</v>
      </c>
      <c r="M5" s="303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1"/>
    </row>
    <row r="6" spans="2:25" x14ac:dyDescent="0.25">
      <c r="B6" s="73" t="s">
        <v>159</v>
      </c>
      <c r="C6" s="74" t="s">
        <v>166</v>
      </c>
      <c r="D6" s="75" t="s">
        <v>167</v>
      </c>
      <c r="E6" s="73" t="s">
        <v>159</v>
      </c>
      <c r="F6" s="74" t="str">
        <f>C6</f>
        <v>Minimum diameter (in)</v>
      </c>
      <c r="G6" s="75" t="str">
        <f>D6</f>
        <v>Max diameter (in)</v>
      </c>
      <c r="H6" s="73" t="s">
        <v>159</v>
      </c>
      <c r="I6" s="74" t="str">
        <f>F6</f>
        <v>Minimum diameter (in)</v>
      </c>
      <c r="J6" s="75" t="str">
        <f>G6</f>
        <v>Max diameter (in)</v>
      </c>
      <c r="K6" s="69"/>
      <c r="L6" s="20" t="s">
        <v>29</v>
      </c>
      <c r="M6" s="21" t="s">
        <v>116</v>
      </c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24"/>
    </row>
    <row r="7" spans="2:25" ht="15.75" thickBot="1" x14ac:dyDescent="0.3">
      <c r="B7" s="76">
        <v>0.05</v>
      </c>
      <c r="C7" s="77">
        <v>1.2</v>
      </c>
      <c r="D7" s="78">
        <v>5</v>
      </c>
      <c r="E7" s="76">
        <v>0.05</v>
      </c>
      <c r="F7" s="77">
        <v>1</v>
      </c>
      <c r="G7" s="78">
        <v>5</v>
      </c>
      <c r="H7" s="76">
        <v>0.05</v>
      </c>
      <c r="I7" s="77">
        <v>0.95</v>
      </c>
      <c r="J7" s="78">
        <v>5</v>
      </c>
      <c r="K7" s="69"/>
      <c r="L7" s="8">
        <v>1</v>
      </c>
      <c r="M7" s="4">
        <f>Q20+Y20+Q26+X26</f>
        <v>5.4510811078982875E-2</v>
      </c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24"/>
    </row>
    <row r="8" spans="2:25" x14ac:dyDescent="0.25">
      <c r="B8" s="293" t="s">
        <v>150</v>
      </c>
      <c r="C8" s="294"/>
      <c r="D8" s="295"/>
      <c r="E8" s="293" t="s">
        <v>151</v>
      </c>
      <c r="F8" s="294"/>
      <c r="G8" s="295"/>
      <c r="H8" s="293">
        <v>0</v>
      </c>
      <c r="I8" s="294"/>
      <c r="J8" s="295"/>
      <c r="K8" s="68"/>
      <c r="L8" s="8">
        <v>2</v>
      </c>
      <c r="M8" s="4">
        <f>Q21+Y21+Q27+X27</f>
        <v>1.8232046904333256E-2</v>
      </c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24"/>
    </row>
    <row r="9" spans="2:25" x14ac:dyDescent="0.25">
      <c r="B9" s="254" t="s">
        <v>162</v>
      </c>
      <c r="C9" s="255" t="s">
        <v>165</v>
      </c>
      <c r="D9" s="255" t="s">
        <v>164</v>
      </c>
      <c r="E9" s="255" t="s">
        <v>163</v>
      </c>
      <c r="F9" s="255" t="s">
        <v>246</v>
      </c>
      <c r="G9" s="255" t="s">
        <v>152</v>
      </c>
      <c r="H9" s="255" t="s">
        <v>248</v>
      </c>
      <c r="I9" s="255" t="s">
        <v>247</v>
      </c>
      <c r="J9" s="256" t="s">
        <v>153</v>
      </c>
      <c r="K9" s="70"/>
      <c r="L9" s="8">
        <v>3</v>
      </c>
      <c r="M9" s="4">
        <f>Q22+Y22+Q28+X28</f>
        <v>2.3805891093755478E-2</v>
      </c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24"/>
    </row>
    <row r="10" spans="2:25" x14ac:dyDescent="0.25">
      <c r="B10" s="257">
        <v>1.2</v>
      </c>
      <c r="C10" s="258">
        <v>68.309414007238757</v>
      </c>
      <c r="D10" s="258">
        <f>IF('Segment 1'!$C10=0,"-",'Segment 1'!$C10-$F$2)</f>
        <v>-31.690585992761243</v>
      </c>
      <c r="E10" s="259">
        <v>1</v>
      </c>
      <c r="F10" s="258">
        <v>78.991724925406515</v>
      </c>
      <c r="G10" s="258">
        <f>IF('Segment 1'!$F10=0,"-",'Segment 1'!$F10-$F$3)</f>
        <v>-21.008275074593485</v>
      </c>
      <c r="H10" s="259">
        <v>0.95</v>
      </c>
      <c r="I10" s="258">
        <v>159.52376924448345</v>
      </c>
      <c r="J10" s="260">
        <f>IF('Segment 1'!$I10=0,"-",'Segment 1'!$I10-$F$4)</f>
        <v>-70.476230755516553</v>
      </c>
      <c r="K10" s="71"/>
      <c r="L10" s="35" t="s">
        <v>143</v>
      </c>
      <c r="M10" s="36">
        <f>SUM(M7:M9)</f>
        <v>9.6548749077071616E-2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24"/>
    </row>
    <row r="11" spans="2:25" x14ac:dyDescent="0.25">
      <c r="B11" s="261">
        <v>1.25</v>
      </c>
      <c r="C11" s="258">
        <v>74.226590137289179</v>
      </c>
      <c r="D11" s="262">
        <f>IF('Segment 1'!$C11=0,"-",'Segment 1'!$C11-$F$2)</f>
        <v>-25.773409862710821</v>
      </c>
      <c r="E11" s="263">
        <v>1.05</v>
      </c>
      <c r="F11" s="258">
        <v>83.658448170751313</v>
      </c>
      <c r="G11" s="262">
        <f>IF('Segment 1'!$F11=0,"-",'Segment 1'!$F11-$F$3)</f>
        <v>-16.341551829248687</v>
      </c>
      <c r="H11" s="263">
        <v>1</v>
      </c>
      <c r="I11" s="258">
        <v>179.22005502047116</v>
      </c>
      <c r="J11" s="264">
        <f>IF('Segment 1'!$I11=0,"-",'Segment 1'!$I11-$F$4)</f>
        <v>-50.779944979528835</v>
      </c>
      <c r="K11" s="71"/>
      <c r="L11" s="37" t="s">
        <v>117</v>
      </c>
      <c r="M11" s="38">
        <f>M10/9.807</f>
        <v>9.844881113191763E-3</v>
      </c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24"/>
    </row>
    <row r="12" spans="2:25" x14ac:dyDescent="0.25">
      <c r="B12" s="257">
        <v>1.3</v>
      </c>
      <c r="C12" s="258">
        <v>78.899032950227479</v>
      </c>
      <c r="D12" s="258">
        <f>IF('Segment 1'!$C12=0,"-",'Segment 1'!$C12-$F$2)</f>
        <v>-21.100967049772521</v>
      </c>
      <c r="E12" s="259">
        <v>1.1000000000000001</v>
      </c>
      <c r="F12" s="258">
        <v>87.185272146488288</v>
      </c>
      <c r="G12" s="258">
        <f>IF('Segment 1'!$F12=0,"-",'Segment 1'!$F12-$F$3)</f>
        <v>-12.814727853511712</v>
      </c>
      <c r="H12" s="259">
        <v>1.05</v>
      </c>
      <c r="I12" s="258">
        <v>193.34982910834731</v>
      </c>
      <c r="J12" s="260">
        <f>IF('Segment 1'!$I12=0,"-",'Segment 1'!$I12-$F$4)</f>
        <v>-36.650170891652692</v>
      </c>
      <c r="K12" s="71"/>
      <c r="L12" s="6"/>
      <c r="M12" s="44"/>
      <c r="N12" s="14"/>
      <c r="O12" s="14"/>
      <c r="P12" s="14"/>
      <c r="Q12" s="14"/>
      <c r="R12" s="14"/>
      <c r="S12" s="14"/>
      <c r="T12" s="14"/>
      <c r="U12" s="14"/>
      <c r="V12" s="14"/>
      <c r="W12" s="14">
        <v>0</v>
      </c>
      <c r="X12" s="14"/>
      <c r="Y12" s="24">
        <v>0</v>
      </c>
    </row>
    <row r="13" spans="2:25" x14ac:dyDescent="0.25">
      <c r="B13" s="261">
        <v>1.35</v>
      </c>
      <c r="C13" s="258">
        <v>82.624223209035492</v>
      </c>
      <c r="D13" s="262">
        <f>IF('Segment 1'!$C13=0,"-",'Segment 1'!$C13-$F$2)</f>
        <v>-17.375776790964508</v>
      </c>
      <c r="E13" s="263">
        <v>1.1500000000000001</v>
      </c>
      <c r="F13" s="258">
        <v>89.886794997633004</v>
      </c>
      <c r="G13" s="262">
        <f>IF('Segment 1'!$F13=0,"-",'Segment 1'!$F13-$F$3)</f>
        <v>-10.113205002366996</v>
      </c>
      <c r="H13" s="263">
        <v>1.1000000000000001</v>
      </c>
      <c r="I13" s="258">
        <v>203.65786348382983</v>
      </c>
      <c r="J13" s="264">
        <f>IF('Segment 1'!$I13=0,"-",'Segment 1'!$I13-$F$4)</f>
        <v>-26.342136516170171</v>
      </c>
      <c r="K13" s="71"/>
      <c r="L13" s="22" t="s">
        <v>39</v>
      </c>
      <c r="M13" s="22" t="s">
        <v>10</v>
      </c>
      <c r="N13" s="22" t="s">
        <v>11</v>
      </c>
      <c r="O13" s="22" t="s">
        <v>13</v>
      </c>
      <c r="P13" s="22" t="s">
        <v>12</v>
      </c>
      <c r="Q13" s="22" t="s">
        <v>14</v>
      </c>
      <c r="R13" s="22" t="s">
        <v>15</v>
      </c>
      <c r="S13" s="22" t="s">
        <v>34</v>
      </c>
      <c r="T13" s="223" t="s">
        <v>16</v>
      </c>
      <c r="U13" s="223" t="s">
        <v>33</v>
      </c>
      <c r="V13" s="224" t="s">
        <v>35</v>
      </c>
      <c r="W13" s="224" t="s">
        <v>37</v>
      </c>
      <c r="X13" s="22" t="s">
        <v>36</v>
      </c>
      <c r="Y13" s="22" t="s">
        <v>38</v>
      </c>
    </row>
    <row r="14" spans="2:25" x14ac:dyDescent="0.25">
      <c r="B14" s="257">
        <v>1.4000000000000001</v>
      </c>
      <c r="C14" s="258">
        <v>85.620680118726156</v>
      </c>
      <c r="D14" s="258">
        <f>IF('Segment 1'!$C14=0,"-",'Segment 1'!$C14-$F$2)</f>
        <v>-14.379319881273844</v>
      </c>
      <c r="E14" s="259">
        <v>1.2000000000000002</v>
      </c>
      <c r="F14" s="258">
        <v>91.981968204901975</v>
      </c>
      <c r="G14" s="258">
        <f>IF('Segment 1'!$F14=0,"-",'Segment 1'!$F14-$F$3)</f>
        <v>-8.0180317950980253</v>
      </c>
      <c r="H14" s="259">
        <v>1.1500000000000001</v>
      </c>
      <c r="I14" s="258">
        <v>211.29311070679114</v>
      </c>
      <c r="J14" s="260">
        <f>IF('Segment 1'!$I14=0,"-",'Segment 1'!$I14-$F$4)</f>
        <v>-18.70688929320886</v>
      </c>
      <c r="K14" s="71"/>
      <c r="L14" s="3" t="s">
        <v>118</v>
      </c>
      <c r="M14" s="32">
        <v>4.9999999999999902</v>
      </c>
      <c r="N14" s="3">
        <f>CONVERT(M14,"in","m")</f>
        <v>0.12699999999999975</v>
      </c>
      <c r="O14" s="3">
        <f>(Table1[[#This Row],[Diameter (m)]]/2)^2*PI()</f>
        <v>1.2667686977437396E-2</v>
      </c>
      <c r="P14" s="3">
        <f>$O$2*1000</f>
        <v>1.4796000000000005</v>
      </c>
      <c r="Q14" s="3">
        <f>$O$2/O14</f>
        <v>0.11680111788642535</v>
      </c>
      <c r="R14" s="7">
        <f>(N14*Q14*$M$2)/$N$2</f>
        <v>6716.0036340676343</v>
      </c>
      <c r="S14" s="17" t="str">
        <f>IF(Table1[[#This Row],[Reynold''s ]]&gt;4000,"TURBULENT",IF(Table1[[#This Row],[Reynold''s ]]&lt;=4000,"LAMINAR","-"))</f>
        <v>TURBULENT</v>
      </c>
      <c r="T14" s="7">
        <f>INDEX(Data!$C$4:$C$18,MATCH(Table1[[#This Row],[Material]],Material,0))</f>
        <v>4.6E-5</v>
      </c>
      <c r="U14" s="18">
        <f>Table1[[#This Row],[ϵ]]/Table1[[#This Row],[Diameter (m)]]</f>
        <v>3.622047244094495E-4</v>
      </c>
      <c r="V14" s="17" t="str">
        <f>IF(Table1[[#This Row],[Regime]]="LAMINAR",16/Table1[[#This Row],[Reynold''s ]],"N/A")</f>
        <v>N/A</v>
      </c>
      <c r="W14" s="33">
        <v>8.7174739853276891E-3</v>
      </c>
      <c r="X14" s="17">
        <f>IF(Table1[[#This Row],[Regime]]="TURBULENT",(((-4*LOG10(Table1[[#This Row],[ϵ/D]]/3.7+1.256/(Table1[[#This Row],[Reynold''s ]]*SQRT(Table1[[#This Row],[ftur (guess)]]))))^-1)^2),"N/A")</f>
        <v>8.7174739853092768E-3</v>
      </c>
      <c r="Y14" s="18">
        <f>Table1[[#This Row],[ftur (guess)]]-Table1[[#This Row],[ftur]]</f>
        <v>1.8412354974017831E-14</v>
      </c>
    </row>
    <row r="15" spans="2:25" x14ac:dyDescent="0.25">
      <c r="B15" s="261">
        <v>1.4500000000000002</v>
      </c>
      <c r="C15" s="258">
        <v>88.050855829888945</v>
      </c>
      <c r="D15" s="262">
        <f>IF('Segment 1'!$C15=0,"-",'Segment 1'!$C15-$F$2)</f>
        <v>-11.949144170111055</v>
      </c>
      <c r="E15" s="263">
        <v>1.2500000000000002</v>
      </c>
      <c r="F15" s="258">
        <v>93.625344279455362</v>
      </c>
      <c r="G15" s="262">
        <f>IF('Segment 1'!$F15=0,"-",'Segment 1'!$F15-$F$3)</f>
        <v>-6.3746557205446379</v>
      </c>
      <c r="H15" s="263">
        <v>1.2000000000000002</v>
      </c>
      <c r="I15" s="258">
        <v>217.02747853024266</v>
      </c>
      <c r="J15" s="264">
        <f>IF('Segment 1'!$I15=0,"-",'Segment 1'!$I15-$F$4)</f>
        <v>-12.972521469757339</v>
      </c>
      <c r="K15" s="71"/>
      <c r="L15" s="3" t="s">
        <v>118</v>
      </c>
      <c r="M15" s="32">
        <v>4.9999999999999902</v>
      </c>
      <c r="N15" s="3">
        <f>CONVERT(M15,"in","m")</f>
        <v>0.12699999999999975</v>
      </c>
      <c r="O15" s="3">
        <f>(Table1[[#This Row],[Diameter (m)]]/2)^2*PI()</f>
        <v>1.2667686977437396E-2</v>
      </c>
      <c r="P15" s="3">
        <f>$O$2*1000</f>
        <v>1.4796000000000005</v>
      </c>
      <c r="Q15" s="3">
        <f>$O$2/O15</f>
        <v>0.11680111788642535</v>
      </c>
      <c r="R15" s="7">
        <f>(N15*Q15*$M$2)/$N$2</f>
        <v>6716.0036340676343</v>
      </c>
      <c r="S15" s="17" t="str">
        <f>IF(Table1[[#This Row],[Reynold''s ]]&gt;4000,"TURBULENT",IF(Table1[[#This Row],[Reynold''s ]]&lt;=4000,"LAMINAR","-"))</f>
        <v>TURBULENT</v>
      </c>
      <c r="T15" s="7">
        <f>INDEX(Data!$C$4:$C$18,MATCH(Table1[[#This Row],[Material]],Material,0))</f>
        <v>4.6E-5</v>
      </c>
      <c r="U15" s="18">
        <f>Table1[[#This Row],[ϵ]]/Table1[[#This Row],[Diameter (m)]]</f>
        <v>3.622047244094495E-4</v>
      </c>
      <c r="V15" s="17" t="str">
        <f>IF(Table1[[#This Row],[Regime]]="LAMINAR",16/Table1[[#This Row],[Reynold''s ]],"N/A")</f>
        <v>N/A</v>
      </c>
      <c r="W15" s="33">
        <v>8.7174739853276891E-3</v>
      </c>
      <c r="X15" s="17">
        <f>IF(Table1[[#This Row],[Regime]]="TURBULENT",(((-4*LOG10(Table1[[#This Row],[ϵ/D]]/3.7+1.256/(Table1[[#This Row],[Reynold''s ]]*SQRT(Table1[[#This Row],[ftur (guess)]]))))^-1)^2),"N/A")</f>
        <v>8.7174739853092768E-3</v>
      </c>
      <c r="Y15" s="18">
        <f>Table1[[#This Row],[ftur (guess)]]-Table1[[#This Row],[ftur]]</f>
        <v>1.8412354974017831E-14</v>
      </c>
    </row>
    <row r="16" spans="2:25" x14ac:dyDescent="0.25">
      <c r="B16" s="257">
        <v>1.5000000000000002</v>
      </c>
      <c r="C16" s="258">
        <v>90.03686992620699</v>
      </c>
      <c r="D16" s="258">
        <f>IF('Segment 1'!$C16=0,"-",'Segment 1'!$C16-$F$2)</f>
        <v>-9.9631300737930104</v>
      </c>
      <c r="E16" s="259">
        <v>1.3000000000000003</v>
      </c>
      <c r="F16" s="258">
        <v>94.927768838370866</v>
      </c>
      <c r="G16" s="258">
        <f>IF('Segment 1'!$F16=0,"-",'Segment 1'!$F16-$F$3)</f>
        <v>-5.0722311616291336</v>
      </c>
      <c r="H16" s="259">
        <v>1.2500000000000002</v>
      </c>
      <c r="I16" s="258">
        <v>221.38909804403164</v>
      </c>
      <c r="J16" s="260">
        <f>IF('Segment 1'!$I16=0,"-",'Segment 1'!$I16-$F$4)</f>
        <v>-8.6109019559683588</v>
      </c>
      <c r="K16" s="71"/>
      <c r="L16" s="3" t="s">
        <v>118</v>
      </c>
      <c r="M16" s="32">
        <v>4.9999999999999902</v>
      </c>
      <c r="N16" s="3">
        <f>CONVERT(M16,"in","m")</f>
        <v>0.12699999999999975</v>
      </c>
      <c r="O16" s="3">
        <f>(Table1[[#This Row],[Diameter (m)]]/2)^2*PI()</f>
        <v>1.2667686977437396E-2</v>
      </c>
      <c r="P16" s="3">
        <f>$O$2*1000</f>
        <v>1.4796000000000005</v>
      </c>
      <c r="Q16" s="3">
        <f>$O$2/O16</f>
        <v>0.11680111788642535</v>
      </c>
      <c r="R16" s="7">
        <f>(N16*Q16*$M$2)/$N$2</f>
        <v>6716.0036340676343</v>
      </c>
      <c r="S16" s="17" t="str">
        <f>IF(Table1[[#This Row],[Reynold''s ]]&gt;4000,"TURBULENT",IF(Table1[[#This Row],[Reynold''s ]]&lt;=4000,"LAMINAR","-"))</f>
        <v>TURBULENT</v>
      </c>
      <c r="T16" s="7">
        <f>INDEX(Data!$C$4:$C$18,MATCH(Table1[[#This Row],[Material]],Material,0))</f>
        <v>4.6E-5</v>
      </c>
      <c r="U16" s="18">
        <f>Table1[[#This Row],[ϵ]]/Table1[[#This Row],[Diameter (m)]]</f>
        <v>3.622047244094495E-4</v>
      </c>
      <c r="V16" s="17" t="str">
        <f>IF(Table1[[#This Row],[Regime]]="LAMINAR",16/Table1[[#This Row],[Reynold''s ]],"N/A")</f>
        <v>N/A</v>
      </c>
      <c r="W16" s="33">
        <v>1.7230083542290234E-2</v>
      </c>
      <c r="X16" s="17">
        <f>IF(Table1[[#This Row],[Regime]]="TURBULENT",(((-4*LOG10(Table1[[#This Row],[ϵ/D]]/3.7+1.256/(Table1[[#This Row],[Reynold''s ]]*SQRT(Table1[[#This Row],[ftur (guess)]]))))^-1)^2),"N/A")</f>
        <v>7.8737454929479426E-3</v>
      </c>
      <c r="Y16" s="18">
        <f>Table1[[#This Row],[ftur (guess)]]-Table1[[#This Row],[ftur]]</f>
        <v>9.3563380493422912E-3</v>
      </c>
    </row>
    <row r="17" spans="2:38" x14ac:dyDescent="0.25">
      <c r="B17" s="261">
        <v>1.5500000000000003</v>
      </c>
      <c r="C17" s="258">
        <v>91.671475314449893</v>
      </c>
      <c r="D17" s="262">
        <f>IF('Segment 1'!$C17=0,"-",'Segment 1'!$C17-$F$2)</f>
        <v>-8.3285246855501072</v>
      </c>
      <c r="E17" s="263">
        <v>1.3500000000000003</v>
      </c>
      <c r="F17" s="258">
        <v>95.969864044505101</v>
      </c>
      <c r="G17" s="262">
        <f>IF('Segment 1'!$F17=0,"-",'Segment 1'!$F17-$F$3)</f>
        <v>-4.0301359554948988</v>
      </c>
      <c r="H17" s="263">
        <v>1.3000000000000003</v>
      </c>
      <c r="I17" s="258">
        <v>224.74537567837922</v>
      </c>
      <c r="J17" s="264">
        <f>IF('Segment 1'!$I17=0,"-",'Segment 1'!$I17-$F$4)</f>
        <v>-5.2546243216207813</v>
      </c>
      <c r="K17" s="71"/>
      <c r="L17" s="220"/>
      <c r="M17" s="220"/>
      <c r="N17" s="68"/>
      <c r="O17" s="68"/>
      <c r="P17" s="68"/>
      <c r="Q17" s="68"/>
      <c r="R17" s="221"/>
      <c r="S17" s="221"/>
      <c r="T17" s="221"/>
      <c r="U17" s="221"/>
      <c r="V17" s="221"/>
      <c r="W17" s="222"/>
      <c r="X17" s="221"/>
      <c r="Y17" s="221"/>
      <c r="AK17" s="2"/>
      <c r="AL17" s="2"/>
    </row>
    <row r="18" spans="2:38" x14ac:dyDescent="0.25">
      <c r="B18" s="257">
        <v>1.6000000000000003</v>
      </c>
      <c r="C18" s="258">
        <v>93.025800720907398</v>
      </c>
      <c r="D18" s="258">
        <f>IF('Segment 1'!$C18=0,"-",'Segment 1'!$C18-$F$2)</f>
        <v>-6.974199279092602</v>
      </c>
      <c r="E18" s="259">
        <v>1.4000000000000004</v>
      </c>
      <c r="F18" s="258">
        <v>96.811031962726332</v>
      </c>
      <c r="G18" s="258">
        <f>IF('Segment 1'!$F18=0,"-",'Segment 1'!$F18-$F$3)</f>
        <v>-3.1889680372736677</v>
      </c>
      <c r="H18" s="259">
        <v>1.3500000000000003</v>
      </c>
      <c r="I18" s="258">
        <v>227.3558378138809</v>
      </c>
      <c r="J18" s="260">
        <f>IF('Segment 1'!$I18=0,"-",'Segment 1'!$I18-$F$4)</f>
        <v>-2.6441621861191038</v>
      </c>
      <c r="K18" s="71"/>
      <c r="L18" s="307" t="s">
        <v>17</v>
      </c>
      <c r="M18" s="308"/>
      <c r="N18" s="308"/>
      <c r="O18" s="308"/>
      <c r="P18" s="308"/>
      <c r="Q18" s="308"/>
      <c r="R18" s="14"/>
      <c r="S18" s="308" t="s">
        <v>21</v>
      </c>
      <c r="T18" s="308"/>
      <c r="U18" s="308"/>
      <c r="V18" s="308"/>
      <c r="W18" s="308"/>
      <c r="X18" s="308"/>
      <c r="Y18" s="219"/>
      <c r="AK18" s="2"/>
      <c r="AL18" s="2"/>
    </row>
    <row r="19" spans="2:38" x14ac:dyDescent="0.25">
      <c r="B19" s="261">
        <v>1.6500000000000004</v>
      </c>
      <c r="C19" s="258">
        <v>94.154883929431492</v>
      </c>
      <c r="D19" s="262">
        <f>IF('Segment 1'!$C19=0,"-",'Segment 1'!$C19-$F$2)</f>
        <v>-5.8451160705685083</v>
      </c>
      <c r="E19" s="263">
        <v>1.4500000000000004</v>
      </c>
      <c r="F19" s="258">
        <v>97.495565279743829</v>
      </c>
      <c r="G19" s="262">
        <f>IF('Segment 1'!$F19=0,"-",'Segment 1'!$F19-$F$3)</f>
        <v>-2.504434720256171</v>
      </c>
      <c r="H19" s="263">
        <v>1.4000000000000004</v>
      </c>
      <c r="I19" s="258">
        <v>229.40640130202604</v>
      </c>
      <c r="J19" s="264">
        <f>IF('Segment 1'!$I19=0,"-",'Segment 1'!$I19-$F$4)</f>
        <v>-0.59359869797395959</v>
      </c>
      <c r="K19" s="71"/>
      <c r="L19" s="65" t="s">
        <v>9</v>
      </c>
      <c r="M19" s="22" t="s">
        <v>11</v>
      </c>
      <c r="N19" s="22" t="s">
        <v>18</v>
      </c>
      <c r="O19" s="22" t="s">
        <v>19</v>
      </c>
      <c r="P19" s="22" t="s">
        <v>20</v>
      </c>
      <c r="Q19" s="22" t="s">
        <v>45</v>
      </c>
      <c r="R19" s="14"/>
      <c r="S19" s="22" t="s">
        <v>10</v>
      </c>
      <c r="T19" s="22" t="s">
        <v>22</v>
      </c>
      <c r="U19" s="22" t="s">
        <v>91</v>
      </c>
      <c r="V19" s="22" t="s">
        <v>23</v>
      </c>
      <c r="W19" s="22" t="s">
        <v>24</v>
      </c>
      <c r="X19" s="22" t="s">
        <v>14</v>
      </c>
      <c r="Y19" s="22" t="s">
        <v>45</v>
      </c>
      <c r="AK19" s="2"/>
      <c r="AL19" s="2"/>
    </row>
    <row r="20" spans="2:38" x14ac:dyDescent="0.25">
      <c r="B20" s="257">
        <v>1.7000000000000004</v>
      </c>
      <c r="C20" s="258">
        <v>95.101671105764012</v>
      </c>
      <c r="D20" s="258">
        <f>IF('Segment 1'!$C20=0,"-",'Segment 1'!$C20-$F$2)</f>
        <v>-4.8983288942359877</v>
      </c>
      <c r="E20" s="259">
        <v>1.5000000000000004</v>
      </c>
      <c r="F20" s="258">
        <v>98.056857694289491</v>
      </c>
      <c r="G20" s="258">
        <f>IF('Segment 1'!$F20=0,"-",'Segment 1'!$F20-$F$3)</f>
        <v>-1.9431423057105093</v>
      </c>
      <c r="H20" s="259">
        <v>1.4500000000000004</v>
      </c>
      <c r="I20" s="258">
        <v>231.03199097864524</v>
      </c>
      <c r="J20" s="260">
        <f>IF('Segment 1'!$I20=0,"-",'Segment 1'!$I20-$F$4)</f>
        <v>1.0319909786452399</v>
      </c>
      <c r="K20" s="71"/>
      <c r="L20" s="8">
        <f t="shared" ref="L20:M22" si="0">M14</f>
        <v>4.9999999999999902</v>
      </c>
      <c r="M20" s="3">
        <f t="shared" si="0"/>
        <v>0.12699999999999975</v>
      </c>
      <c r="N20" s="3">
        <v>20</v>
      </c>
      <c r="O20" s="3">
        <f>Q14</f>
        <v>0.11680111788642535</v>
      </c>
      <c r="P20" s="7">
        <f>IF(S14="TURBULENT",X14,V14)</f>
        <v>8.7174739853092768E-3</v>
      </c>
      <c r="Q20" s="3">
        <f>4*Table5[[#This Row],[f ]]*Table5[[#This Row],[Length (m)]]/Table5[[#This Row],[Diameter (m)]]*((Table5[[#This Row],[Velocity]]^2)/2)</f>
        <v>3.7457684654584586E-2</v>
      </c>
      <c r="R20" s="14"/>
      <c r="S20" s="3">
        <f>M14</f>
        <v>4.9999999999999902</v>
      </c>
      <c r="T20" s="3" t="s">
        <v>52</v>
      </c>
      <c r="U20" s="3" t="s">
        <v>50</v>
      </c>
      <c r="V20" s="3">
        <v>2</v>
      </c>
      <c r="W20" s="15">
        <f t="array" ref="W20">INDEX(Data!$G$4:$G$51,MATCH(Table7[[#This Row],[Fittings]]&amp;Table7[[#This Row],[Type]],Fittings&amp;Data!$F$4:$F$51,0))</f>
        <v>0.75</v>
      </c>
      <c r="X20" s="1">
        <f>Q14</f>
        <v>0.11680111788642535</v>
      </c>
      <c r="Y20" s="1">
        <f>(Table7[[#This Row],[Velocity (m/s)]]^2)/2*Table7[[#This Row],[Kf]]*Table7[[#This Row],['# of fittings]]</f>
        <v>1.0231875854638972E-2</v>
      </c>
      <c r="AK20" s="2"/>
      <c r="AL20" s="2"/>
    </row>
    <row r="21" spans="2:38" x14ac:dyDescent="0.25">
      <c r="B21" s="261">
        <v>1.7500000000000004</v>
      </c>
      <c r="C21" s="258">
        <v>95.899938237588088</v>
      </c>
      <c r="D21" s="262">
        <f>IF('Segment 1'!$C21=0,"-",'Segment 1'!$C21-$F$2)</f>
        <v>-4.1000617624119116</v>
      </c>
      <c r="E21" s="263">
        <v>1.5500000000000005</v>
      </c>
      <c r="F21" s="258">
        <v>98.52034572525865</v>
      </c>
      <c r="G21" s="262">
        <f>IF('Segment 1'!$F21=0,"-",'Segment 1'!$F21-$F$3)</f>
        <v>-1.4796542747413497</v>
      </c>
      <c r="H21" s="263">
        <v>1.5000000000000004</v>
      </c>
      <c r="I21" s="258">
        <v>232.33170966366043</v>
      </c>
      <c r="J21" s="264">
        <f>IF('Segment 1'!$I21=0,"-",'Segment 1'!$I21-$F$4)</f>
        <v>2.3317096636604333</v>
      </c>
      <c r="K21" s="71"/>
      <c r="L21" s="8">
        <f t="shared" si="0"/>
        <v>4.9999999999999902</v>
      </c>
      <c r="M21" s="3">
        <f t="shared" si="0"/>
        <v>0.12699999999999975</v>
      </c>
      <c r="N21" s="3">
        <v>5</v>
      </c>
      <c r="O21" s="3">
        <f>Q15</f>
        <v>0.11680111788642535</v>
      </c>
      <c r="P21" s="7">
        <f>IF(S15="TURBULENT",X15,V15)</f>
        <v>8.7174739853092768E-3</v>
      </c>
      <c r="Q21" s="3">
        <f>4*Table5[[#This Row],[f ]]*Table5[[#This Row],[Length (m)]]/Table5[[#This Row],[Diameter (m)]]*((Table5[[#This Row],[Velocity]]^2)/2)</f>
        <v>9.3644211636461465E-3</v>
      </c>
      <c r="R21" s="14"/>
      <c r="S21" s="3">
        <f>M15</f>
        <v>4.9999999999999902</v>
      </c>
      <c r="T21" s="3" t="s">
        <v>52</v>
      </c>
      <c r="U21" s="3" t="s">
        <v>50</v>
      </c>
      <c r="V21" s="3">
        <v>1</v>
      </c>
      <c r="W21" s="15">
        <f t="array" ref="W21">INDEX(Data!$G$4:$G$51,MATCH(Table7[[#This Row],[Fittings]]&amp;Table7[[#This Row],[Type]],Fittings&amp;Data!$F$4:$F$51,0))</f>
        <v>0.75</v>
      </c>
      <c r="X21" s="1">
        <f>Q15</f>
        <v>0.11680111788642535</v>
      </c>
      <c r="Y21" s="1">
        <f>(Table7[[#This Row],[Velocity (m/s)]]^2)/2*Table7[[#This Row],[Kf]]*Table7[[#This Row],['# of fittings]]</f>
        <v>5.115937927319486E-3</v>
      </c>
      <c r="AK21" s="2"/>
      <c r="AL21" s="2"/>
    </row>
    <row r="22" spans="2:38" x14ac:dyDescent="0.25">
      <c r="B22" s="257">
        <v>1.8000000000000005</v>
      </c>
      <c r="C22" s="258">
        <v>96.576446465602245</v>
      </c>
      <c r="D22" s="258">
        <f>IF('Segment 1'!$C22=0,"-",'Segment 1'!$C22-$F$2)</f>
        <v>-3.4235535343977546</v>
      </c>
      <c r="E22" s="259">
        <v>1.6000000000000005</v>
      </c>
      <c r="F22" s="258">
        <v>98.905590988635183</v>
      </c>
      <c r="G22" s="258">
        <f>IF('Segment 1'!$F22=0,"-",'Segment 1'!$F22-$F$3)</f>
        <v>-1.0944090113648173</v>
      </c>
      <c r="H22" s="259">
        <v>1.5500000000000005</v>
      </c>
      <c r="I22" s="258">
        <v>233.37916627980195</v>
      </c>
      <c r="J22" s="260">
        <f>IF('Segment 1'!$I22=0,"-",'Segment 1'!$I22-$F$4)</f>
        <v>3.3791662798019502</v>
      </c>
      <c r="K22" s="71"/>
      <c r="L22" s="8">
        <f t="shared" si="0"/>
        <v>4.9999999999999902</v>
      </c>
      <c r="M22" s="3">
        <f t="shared" si="0"/>
        <v>0.12699999999999975</v>
      </c>
      <c r="N22" s="3">
        <v>5</v>
      </c>
      <c r="O22" s="3">
        <f>Q16</f>
        <v>0.11680111788642535</v>
      </c>
      <c r="P22" s="7">
        <f>IF(S16="TURBULENT",X16,V16)</f>
        <v>7.8737454929479426E-3</v>
      </c>
      <c r="Q22" s="3">
        <f>4*Table5[[#This Row],[f ]]*Table5[[#This Row],[Length (m)]]/Table5[[#This Row],[Diameter (m)]]*((Table5[[#This Row],[Velocity]]^2)/2)</f>
        <v>8.4580773117970218E-3</v>
      </c>
      <c r="R22" s="14"/>
      <c r="S22" s="3">
        <f>M16</f>
        <v>4.9999999999999902</v>
      </c>
      <c r="T22" s="3" t="s">
        <v>52</v>
      </c>
      <c r="U22" s="3" t="s">
        <v>50</v>
      </c>
      <c r="V22" s="3">
        <v>3</v>
      </c>
      <c r="W22" s="15">
        <f t="array" ref="W22">INDEX(Data!$G$4:$G$51,MATCH(Table7[[#This Row],[Fittings]]&amp;Table7[[#This Row],[Type]],Fittings&amp;Data!$F$4:$F$51,0))</f>
        <v>0.75</v>
      </c>
      <c r="X22" s="1">
        <f>Q16</f>
        <v>0.11680111788642535</v>
      </c>
      <c r="Y22" s="1">
        <f>(Table7[[#This Row],[Velocity (m/s)]]^2)/2*Table7[[#This Row],[Kf]]*Table7[[#This Row],['# of fittings]]</f>
        <v>1.5347813781958458E-2</v>
      </c>
      <c r="AK22" s="2"/>
      <c r="AL22" s="2"/>
    </row>
    <row r="23" spans="2:38" x14ac:dyDescent="0.25">
      <c r="B23" s="261">
        <v>1.8500000000000005</v>
      </c>
      <c r="C23" s="258">
        <v>97.152547121133821</v>
      </c>
      <c r="D23" s="262">
        <f>IF('Segment 1'!$C23=0,"-",'Segment 1'!$C23-$F$2)</f>
        <v>-2.8474528788661786</v>
      </c>
      <c r="E23" s="263">
        <v>1.6500000000000006</v>
      </c>
      <c r="F23" s="258">
        <v>99.227771995087707</v>
      </c>
      <c r="G23" s="262">
        <f>IF('Segment 1'!$F23=0,"-",'Segment 1'!$F23-$F$3)</f>
        <v>-0.77222800491229293</v>
      </c>
      <c r="H23" s="263">
        <v>1.6000000000000005</v>
      </c>
      <c r="I23" s="258">
        <v>234.22960580390733</v>
      </c>
      <c r="J23" s="264">
        <f>IF('Segment 1'!$I23=0,"-",'Segment 1'!$I23-$F$4)</f>
        <v>4.229605803907333</v>
      </c>
      <c r="K23" s="71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24"/>
      <c r="AK23" s="2"/>
      <c r="AL23" s="2"/>
    </row>
    <row r="24" spans="2:38" x14ac:dyDescent="0.25">
      <c r="B24" s="257">
        <v>1.9000000000000006</v>
      </c>
      <c r="C24" s="258">
        <v>97.645387511776448</v>
      </c>
      <c r="D24" s="258">
        <f>IF('Segment 1'!$C24=0,"-",'Segment 1'!$C24-$F$2)</f>
        <v>-2.3546124882235517</v>
      </c>
      <c r="E24" s="259">
        <v>1.7000000000000006</v>
      </c>
      <c r="F24" s="258">
        <v>99.498765027669421</v>
      </c>
      <c r="G24" s="258">
        <f>IF('Segment 1'!$F24=0,"-",'Segment 1'!$F24-$F$3)</f>
        <v>-0.5012349723305789</v>
      </c>
      <c r="H24" s="259">
        <v>1.6500000000000006</v>
      </c>
      <c r="I24" s="258">
        <v>234.92489541149567</v>
      </c>
      <c r="J24" s="260">
        <f>IF('Segment 1'!$I24=0,"-",'Segment 1'!$I24-$F$4)</f>
        <v>4.9248954114956689</v>
      </c>
      <c r="K24" s="71"/>
      <c r="L24" s="302" t="s">
        <v>25</v>
      </c>
      <c r="M24" s="303"/>
      <c r="N24" s="303"/>
      <c r="O24" s="303"/>
      <c r="P24" s="303"/>
      <c r="Q24" s="303"/>
      <c r="R24" s="14"/>
      <c r="S24" s="303" t="s">
        <v>27</v>
      </c>
      <c r="T24" s="303"/>
      <c r="U24" s="303"/>
      <c r="V24" s="303"/>
      <c r="W24" s="303"/>
      <c r="X24" s="303"/>
      <c r="Y24" s="24"/>
    </row>
    <row r="25" spans="2:38" x14ac:dyDescent="0.25">
      <c r="B25" s="261">
        <v>1.9500000000000006</v>
      </c>
      <c r="C25" s="258">
        <v>98.068824301913423</v>
      </c>
      <c r="D25" s="262">
        <f>IF('Segment 1'!$C25=0,"-",'Segment 1'!$C25-$F$2)</f>
        <v>-1.9311756980865766</v>
      </c>
      <c r="E25" s="263">
        <v>1.7500000000000007</v>
      </c>
      <c r="F25" s="258">
        <v>99.727935607172171</v>
      </c>
      <c r="G25" s="262">
        <f>IF('Segment 1'!$F25=0,"-",'Segment 1'!$F25-$F$3)</f>
        <v>-0.27206439282782924</v>
      </c>
      <c r="H25" s="263">
        <v>1.7000000000000006</v>
      </c>
      <c r="I25" s="258">
        <v>235.49705371807468</v>
      </c>
      <c r="J25" s="264">
        <f>IF('Segment 1'!$I25=0,"-",'Segment 1'!$I25-$F$4)</f>
        <v>5.4970537180746817</v>
      </c>
      <c r="K25" s="71"/>
      <c r="L25" s="65" t="s">
        <v>29</v>
      </c>
      <c r="M25" s="22" t="s">
        <v>10</v>
      </c>
      <c r="N25" s="22" t="s">
        <v>11</v>
      </c>
      <c r="O25" s="22" t="s">
        <v>26</v>
      </c>
      <c r="P25" s="22" t="s">
        <v>14</v>
      </c>
      <c r="Q25" s="22" t="s">
        <v>93</v>
      </c>
      <c r="R25" s="14"/>
      <c r="S25" s="22" t="s">
        <v>29</v>
      </c>
      <c r="T25" s="22" t="s">
        <v>10</v>
      </c>
      <c r="U25" s="22" t="s">
        <v>11</v>
      </c>
      <c r="V25" s="22" t="s">
        <v>28</v>
      </c>
      <c r="W25" s="22" t="s">
        <v>14</v>
      </c>
      <c r="X25" s="22" t="s">
        <v>93</v>
      </c>
      <c r="Y25" s="24"/>
    </row>
    <row r="26" spans="2:38" x14ac:dyDescent="0.25">
      <c r="B26" s="257">
        <v>2.0000000000000004</v>
      </c>
      <c r="C26" s="258">
        <v>98.43412083025413</v>
      </c>
      <c r="D26" s="258">
        <f>IF('Segment 1'!$C26=0,"-",'Segment 1'!$C26-$F$2)</f>
        <v>-1.5658791697458696</v>
      </c>
      <c r="E26" s="259">
        <v>1.8000000000000007</v>
      </c>
      <c r="F26" s="258">
        <v>99.922723794611287</v>
      </c>
      <c r="G26" s="258">
        <f>IF('Segment 1'!$F26=0,"-",'Segment 1'!$F26-$F$3)</f>
        <v>-7.7276205388713493E-2</v>
      </c>
      <c r="H26" s="259">
        <v>1.7500000000000007</v>
      </c>
      <c r="I26" s="258">
        <v>235.97077715362283</v>
      </c>
      <c r="J26" s="260">
        <f>IF('Segment 1'!$I26=0,"-",'Segment 1'!$I26-$F$4)</f>
        <v>5.9707771536228336</v>
      </c>
      <c r="K26" s="71"/>
      <c r="L26" s="8">
        <v>1</v>
      </c>
      <c r="M26" s="3">
        <f t="shared" ref="M26:N28" si="1">M14</f>
        <v>4.9999999999999902</v>
      </c>
      <c r="N26" s="3">
        <f t="shared" si="1"/>
        <v>0.12699999999999975</v>
      </c>
      <c r="O26" s="3">
        <v>0.55000000000000004</v>
      </c>
      <c r="P26" s="3" t="s">
        <v>30</v>
      </c>
      <c r="Q26" s="3">
        <f>IF(Table8[[#This Row],[Velocity (m/s)]]="N/A",0,(Table8[[#This Row],[Velocity (m/s)]]^2)/2*Table8[[#This Row],[Kc]])</f>
        <v>0</v>
      </c>
      <c r="R26" s="14"/>
      <c r="S26" s="3">
        <v>1</v>
      </c>
      <c r="T26" s="3">
        <f>M14</f>
        <v>4.9999999999999902</v>
      </c>
      <c r="U26" s="3">
        <f t="shared" ref="U26:U28" si="2">M20</f>
        <v>0.12699999999999975</v>
      </c>
      <c r="V26" s="3">
        <v>1</v>
      </c>
      <c r="W26" s="3">
        <f>Q14</f>
        <v>0.11680111788642535</v>
      </c>
      <c r="X26" s="3">
        <f>IF(Table810[[#This Row],[Velocity (m/s)]]="N/A",0,(Table810[[#This Row],[Velocity (m/s)]]^2)/2*Table810[[#This Row],[Ke]])</f>
        <v>6.8212505697593153E-3</v>
      </c>
      <c r="Y26" s="24"/>
    </row>
    <row r="27" spans="2:38" x14ac:dyDescent="0.25">
      <c r="B27" s="261">
        <v>2.0500000000000003</v>
      </c>
      <c r="C27" s="258">
        <v>98.750483428687645</v>
      </c>
      <c r="D27" s="262">
        <f>IF('Segment 1'!$C27=0,"-",'Segment 1'!$C27-$F$2)</f>
        <v>-1.2495165713123555</v>
      </c>
      <c r="E27" s="263">
        <v>1.8500000000000008</v>
      </c>
      <c r="F27" s="258">
        <v>100.08908107806128</v>
      </c>
      <c r="G27" s="262">
        <f>IF('Segment 1'!$F27=0,"-",'Segment 1'!$F27-$F$3)</f>
        <v>8.9081078061283847E-2</v>
      </c>
      <c r="H27" s="263">
        <v>1.8000000000000007</v>
      </c>
      <c r="I27" s="258">
        <v>236.3652676737355</v>
      </c>
      <c r="J27" s="264">
        <f>IF('Segment 1'!$I27=0,"-",'Segment 1'!$I27-$F$4)</f>
        <v>6.3652676737355023</v>
      </c>
      <c r="K27" s="71"/>
      <c r="L27" s="8">
        <v>2</v>
      </c>
      <c r="M27" s="3">
        <f t="shared" si="1"/>
        <v>4.9999999999999902</v>
      </c>
      <c r="N27" s="3">
        <f t="shared" si="1"/>
        <v>0.12699999999999975</v>
      </c>
      <c r="O27" s="3">
        <v>0.55000000000000004</v>
      </c>
      <c r="P27" s="3">
        <f>Q15</f>
        <v>0.11680111788642535</v>
      </c>
      <c r="Q27" s="3">
        <f>IF(Table8[[#This Row],[Velocity (m/s)]]="N/A",0,(Table8[[#This Row],[Velocity (m/s)]]^2)/2*Table8[[#This Row],[Kc]])</f>
        <v>3.7516878133676238E-3</v>
      </c>
      <c r="R27" s="14"/>
      <c r="S27" s="3">
        <v>2</v>
      </c>
      <c r="T27" s="3">
        <f>M15</f>
        <v>4.9999999999999902</v>
      </c>
      <c r="U27" s="3">
        <f t="shared" si="2"/>
        <v>0.12699999999999975</v>
      </c>
      <c r="V27" s="3">
        <v>1</v>
      </c>
      <c r="W27" s="3" t="s">
        <v>30</v>
      </c>
      <c r="X27" s="3">
        <f>IF(Table810[[#This Row],[Velocity (m/s)]]="N/A",0,(Table810[[#This Row],[Velocity (m/s)]]^2)/2*Table810[[#This Row],[Ke]])</f>
        <v>0</v>
      </c>
      <c r="Y27" s="24"/>
    </row>
    <row r="28" spans="2:38" ht="15.75" thickBot="1" x14ac:dyDescent="0.3">
      <c r="B28" s="257">
        <v>2.1</v>
      </c>
      <c r="C28" s="258">
        <v>99.025476816018099</v>
      </c>
      <c r="D28" s="258">
        <f>IF('Segment 1'!$C28=0,"-",'Segment 1'!$C28-$F$2)</f>
        <v>-0.9745231839819013</v>
      </c>
      <c r="E28" s="259">
        <v>1.9000000000000008</v>
      </c>
      <c r="F28" s="258">
        <v>100.23179934354711</v>
      </c>
      <c r="G28" s="258">
        <f>IF('Segment 1'!$F28=0,"-",'Segment 1'!$F28-$F$3)</f>
        <v>0.23179934354710952</v>
      </c>
      <c r="H28" s="259">
        <v>1.8500000000000008</v>
      </c>
      <c r="I28" s="258">
        <v>236.69556822430954</v>
      </c>
      <c r="J28" s="260">
        <f>IF('Segment 1'!$I28=0,"-",'Segment 1'!$I28-$F$4)</f>
        <v>6.6955682243095396</v>
      </c>
      <c r="K28" s="71"/>
      <c r="L28" s="8">
        <v>3</v>
      </c>
      <c r="M28" s="3">
        <f t="shared" si="1"/>
        <v>4.9999999999999902</v>
      </c>
      <c r="N28" s="3">
        <f t="shared" si="1"/>
        <v>0.12699999999999975</v>
      </c>
      <c r="O28" s="3">
        <v>0.55000000000000004</v>
      </c>
      <c r="P28" s="3" t="s">
        <v>30</v>
      </c>
      <c r="Q28" s="3">
        <f>IF(Table8[[#This Row],[Velocity (m/s)]]="N/A",0,(Table8[[#This Row],[Velocity (m/s)]]^2)/2*Table8[[#This Row],[Kc]])</f>
        <v>0</v>
      </c>
      <c r="R28" s="28"/>
      <c r="S28" s="3">
        <v>3</v>
      </c>
      <c r="T28" s="3">
        <f>M16</f>
        <v>4.9999999999999902</v>
      </c>
      <c r="U28" s="3">
        <f t="shared" si="2"/>
        <v>0.12699999999999975</v>
      </c>
      <c r="V28" s="3">
        <v>1</v>
      </c>
      <c r="W28" s="3" t="s">
        <v>30</v>
      </c>
      <c r="X28" s="3">
        <f>IF(Table810[[#This Row],[Velocity (m/s)]]="N/A",0,(Table810[[#This Row],[Velocity (m/s)]]^2)/2*Table810[[#This Row],[Ke]])</f>
        <v>0</v>
      </c>
      <c r="Y28" s="29"/>
    </row>
    <row r="29" spans="2:38" x14ac:dyDescent="0.25">
      <c r="B29" s="261">
        <v>2.15</v>
      </c>
      <c r="C29" s="258">
        <v>99.265347978517326</v>
      </c>
      <c r="D29" s="262">
        <f>IF('Segment 1'!$C29=0,"-",'Segment 1'!$C29-$F$2)</f>
        <v>-0.73465202148267394</v>
      </c>
      <c r="E29" s="263">
        <v>1.9500000000000008</v>
      </c>
      <c r="F29" s="258">
        <v>100.3547606386021</v>
      </c>
      <c r="G29" s="262">
        <f>IF('Segment 1'!$F29=0,"-",'Segment 1'!$F29-$F$3)</f>
        <v>0.35476063860210161</v>
      </c>
      <c r="H29" s="263">
        <v>1.9000000000000008</v>
      </c>
      <c r="I29" s="258">
        <v>236.97354770128015</v>
      </c>
      <c r="J29" s="264">
        <f>IF('Segment 1'!$I29=0,"-",'Segment 1'!$I29-$F$4)</f>
        <v>6.9735477012801539</v>
      </c>
      <c r="K29" s="71"/>
    </row>
    <row r="30" spans="2:38" ht="15.75" thickBot="1" x14ac:dyDescent="0.3">
      <c r="B30" s="265">
        <v>2.1999999999999997</v>
      </c>
      <c r="C30" s="258">
        <v>99.475280298274683</v>
      </c>
      <c r="D30" s="258">
        <f>IF('Segment 1'!$C30=0,"-",'Segment 1'!$C30-$F$2)</f>
        <v>-0.52471970172531712</v>
      </c>
      <c r="E30" s="10">
        <v>2.0000000000000009</v>
      </c>
      <c r="F30" s="258">
        <v>100.46112828268758</v>
      </c>
      <c r="G30" s="258">
        <f>IF('Segment 1'!$F30=0,"-",'Segment 1'!$F30-$F$3)</f>
        <v>0.46112828268758221</v>
      </c>
      <c r="H30" s="259">
        <v>1.9500000000000008</v>
      </c>
      <c r="I30" s="258">
        <v>237.2086338321854</v>
      </c>
      <c r="J30" s="260">
        <f>IF('Segment 1'!$I30=0,"-",'Segment 1'!$I30-$F$4)</f>
        <v>7.2086338321853987</v>
      </c>
      <c r="K30" s="71"/>
      <c r="R30" s="2"/>
      <c r="S30" s="2"/>
      <c r="T30" s="2"/>
    </row>
    <row r="31" spans="2:38" ht="15.75" x14ac:dyDescent="0.25">
      <c r="B31" s="266">
        <v>2.2499999999999996</v>
      </c>
      <c r="C31" s="258">
        <v>99.65959415297344</v>
      </c>
      <c r="D31" s="262">
        <f>IF('Segment 1'!$C31=0,"-",'Segment 1'!$C31-$F$2)</f>
        <v>-0.34040584702655963</v>
      </c>
      <c r="E31" s="12">
        <v>2.0500000000000007</v>
      </c>
      <c r="F31" s="258">
        <v>100.55349417981581</v>
      </c>
      <c r="G31" s="262">
        <f>IF('Segment 1'!$F31=0,"-",'Segment 1'!$F31-$F$3)</f>
        <v>0.55349417981581439</v>
      </c>
      <c r="H31" s="263">
        <v>2.0000000000000009</v>
      </c>
      <c r="I31" s="258">
        <v>237.40836305344274</v>
      </c>
      <c r="J31" s="264">
        <f>IF('Segment 1'!$I31=0,"-",'Segment 1'!$I31-$F$4)</f>
        <v>7.4083630534427414</v>
      </c>
      <c r="K31" s="71"/>
      <c r="L31" s="304" t="s">
        <v>131</v>
      </c>
      <c r="M31" s="305"/>
      <c r="N31" s="305"/>
      <c r="O31" s="305"/>
      <c r="P31" s="305"/>
      <c r="Q31" s="305"/>
      <c r="R31" s="305"/>
      <c r="S31" s="306"/>
    </row>
    <row r="32" spans="2:38" x14ac:dyDescent="0.25">
      <c r="B32" s="265">
        <v>2.2999999999999994</v>
      </c>
      <c r="C32" s="258">
        <v>99.821906170547123</v>
      </c>
      <c r="D32" s="258">
        <f>IF('Segment 1'!$C32=0,"-",'Segment 1'!$C32-$F$2)</f>
        <v>-0.17809382945287666</v>
      </c>
      <c r="E32" s="10">
        <v>2.1000000000000005</v>
      </c>
      <c r="F32" s="258">
        <v>100.63399316608745</v>
      </c>
      <c r="G32" s="258">
        <f>IF('Segment 1'!$F32=0,"-",'Segment 1'!$F32-$F$3)</f>
        <v>0.63399316608744982</v>
      </c>
      <c r="H32" s="259">
        <v>2.0500000000000007</v>
      </c>
      <c r="I32" s="258">
        <v>237.57879634347424</v>
      </c>
      <c r="J32" s="260">
        <f>IF('Segment 1'!$I32=0,"-",'Segment 1'!$I32-$F$4)</f>
        <v>7.578796343474238</v>
      </c>
      <c r="K32" s="71"/>
      <c r="L32" s="66" t="s">
        <v>29</v>
      </c>
      <c r="M32" s="34" t="s">
        <v>139</v>
      </c>
      <c r="N32" s="34" t="s">
        <v>140</v>
      </c>
      <c r="O32" s="34" t="s">
        <v>138</v>
      </c>
      <c r="P32" s="34" t="s">
        <v>137</v>
      </c>
      <c r="Q32" s="34" t="s">
        <v>132</v>
      </c>
      <c r="R32" s="34" t="s">
        <v>133</v>
      </c>
      <c r="S32" s="39" t="s">
        <v>136</v>
      </c>
    </row>
    <row r="33" spans="2:19" x14ac:dyDescent="0.25">
      <c r="B33" s="266">
        <v>2.3499999999999992</v>
      </c>
      <c r="C33" s="258">
        <v>99.9652563515926</v>
      </c>
      <c r="D33" s="262">
        <f>IF('Segment 1'!$C33=0,"-",'Segment 1'!$C33-$F$2)</f>
        <v>-3.4743648407399519E-2</v>
      </c>
      <c r="E33" s="12">
        <v>2.1500000000000004</v>
      </c>
      <c r="F33" s="258">
        <v>100.70439235850327</v>
      </c>
      <c r="G33" s="262">
        <f>IF('Segment 1'!$F33=0,"-",'Segment 1'!$F33-$F$3)</f>
        <v>0.70439235850327009</v>
      </c>
      <c r="H33" s="263">
        <v>2.1000000000000005</v>
      </c>
      <c r="I33" s="258">
        <v>237.72483604362338</v>
      </c>
      <c r="J33" s="264">
        <f>IF('Segment 1'!$I33=0,"-",'Segment 1'!$I33-$F$4)</f>
        <v>7.7248360436233838</v>
      </c>
      <c r="K33" s="71"/>
      <c r="L33" s="8">
        <v>1</v>
      </c>
      <c r="M33" s="3">
        <f>N26</f>
        <v>0.12699999999999975</v>
      </c>
      <c r="N33" s="3">
        <f>Table15[[#This Row],[D1 (m)]]</f>
        <v>0.12699999999999975</v>
      </c>
      <c r="O33" s="3">
        <f>Q14</f>
        <v>0.11680111788642535</v>
      </c>
      <c r="P33" s="3">
        <f>Table15[[#This Row],[V1 (m/s)]]</f>
        <v>0.11680111788642535</v>
      </c>
      <c r="Q33" s="7">
        <f>R14</f>
        <v>6716.0036340676343</v>
      </c>
      <c r="R33" s="7">
        <f>Table15[[#This Row],[Re1]]</f>
        <v>6716.0036340676343</v>
      </c>
      <c r="S33" s="40">
        <f>(Table15[[#This Row],[V1 (m/s)]]^2-Table15[[#This Row],[V2 (m/s)]]^2)</f>
        <v>0</v>
      </c>
    </row>
    <row r="34" spans="2:19" x14ac:dyDescent="0.25">
      <c r="B34" s="265">
        <v>2.399999999999999</v>
      </c>
      <c r="C34" s="258">
        <v>100.09221007219735</v>
      </c>
      <c r="D34" s="258">
        <f>IF('Segment 1'!$C34=0,"-",'Segment 1'!$C34-$F$2)</f>
        <v>9.2210072197346449E-2</v>
      </c>
      <c r="E34" s="10">
        <v>2.2000000000000002</v>
      </c>
      <c r="F34" s="258">
        <v>100.76616141062772</v>
      </c>
      <c r="G34" s="258">
        <f>IF('Segment 1'!$F34=0,"-",'Segment 1'!$F34-$F$3)</f>
        <v>0.76616141062771703</v>
      </c>
      <c r="H34" s="259">
        <v>2.1500000000000004</v>
      </c>
      <c r="I34" s="258">
        <v>237.85046895764077</v>
      </c>
      <c r="J34" s="260">
        <f>IF('Segment 1'!$I34=0,"-",'Segment 1'!$I34-$F$4)</f>
        <v>7.8504689576407714</v>
      </c>
      <c r="K34" s="71"/>
      <c r="L34" s="8">
        <v>2</v>
      </c>
      <c r="M34" s="3">
        <f>N27</f>
        <v>0.12699999999999975</v>
      </c>
      <c r="N34" s="3">
        <f>Table15[[#This Row],[D1 (m)]]</f>
        <v>0.12699999999999975</v>
      </c>
      <c r="O34" s="3">
        <f>Q15</f>
        <v>0.11680111788642535</v>
      </c>
      <c r="P34" s="3">
        <f>Table15[[#This Row],[V1 (m/s)]]</f>
        <v>0.11680111788642535</v>
      </c>
      <c r="Q34" s="7">
        <f>R15</f>
        <v>6716.0036340676343</v>
      </c>
      <c r="R34" s="7">
        <f>Table15[[#This Row],[Re1]]</f>
        <v>6716.0036340676343</v>
      </c>
      <c r="S34" s="40">
        <f>(Table15[[#This Row],[V1 (m/s)]]^2-Table15[[#This Row],[V2 (m/s)]]^2)</f>
        <v>0</v>
      </c>
    </row>
    <row r="35" spans="2:19" ht="15.75" thickBot="1" x14ac:dyDescent="0.3">
      <c r="B35" s="266">
        <v>2.4499999999999988</v>
      </c>
      <c r="C35" s="258">
        <v>100.20494033876</v>
      </c>
      <c r="D35" s="262">
        <f>IF('Segment 1'!$C35=0,"-",'Segment 1'!$C35-$F$2)</f>
        <v>0.20494033875999662</v>
      </c>
      <c r="E35" s="12">
        <v>2.25</v>
      </c>
      <c r="F35" s="258">
        <v>100.82052808643847</v>
      </c>
      <c r="G35" s="262">
        <f>IF('Segment 1'!$F35=0,"-",'Segment 1'!$F35-$F$3)</f>
        <v>0.82052808643847186</v>
      </c>
      <c r="H35" s="263">
        <v>2.2000000000000002</v>
      </c>
      <c r="I35" s="258">
        <v>237.95895414325636</v>
      </c>
      <c r="J35" s="264">
        <f>IF('Segment 1'!$I35=0,"-",'Segment 1'!$I35-$F$4)</f>
        <v>7.9589541432563635</v>
      </c>
      <c r="K35" s="71"/>
      <c r="L35" s="67">
        <v>3</v>
      </c>
      <c r="M35" s="27">
        <f>N28</f>
        <v>0.12699999999999975</v>
      </c>
      <c r="N35" s="27">
        <f>Table15[[#This Row],[D1 (m)]]</f>
        <v>0.12699999999999975</v>
      </c>
      <c r="O35" s="27">
        <f>Q16</f>
        <v>0.11680111788642535</v>
      </c>
      <c r="P35" s="27">
        <f>Table15[[#This Row],[V1 (m/s)]]</f>
        <v>0.11680111788642535</v>
      </c>
      <c r="Q35" s="42">
        <f>R16</f>
        <v>6716.0036340676343</v>
      </c>
      <c r="R35" s="42">
        <f>Table15[[#This Row],[Re1]]</f>
        <v>6716.0036340676343</v>
      </c>
      <c r="S35" s="41">
        <f>(Table15[[#This Row],[V1 (m/s)]]^2-Table15[[#This Row],[V2 (m/s)]]^2)</f>
        <v>0</v>
      </c>
    </row>
    <row r="36" spans="2:19" ht="15.75" thickBot="1" x14ac:dyDescent="0.3">
      <c r="B36" s="265">
        <v>2.4999999999999987</v>
      </c>
      <c r="C36" s="258">
        <v>100.30529443414858</v>
      </c>
      <c r="D36" s="258">
        <f>IF('Segment 1'!$C36=0,"-",'Segment 1'!$C36-$F$2)</f>
        <v>0.30529443414857838</v>
      </c>
      <c r="E36" s="10">
        <v>2.2999999999999998</v>
      </c>
      <c r="F36" s="258">
        <v>100.86852247146726</v>
      </c>
      <c r="G36" s="258">
        <f>IF('Segment 1'!$F36=0,"-",'Segment 1'!$F36-$F$3)</f>
        <v>0.86852247146725858</v>
      </c>
      <c r="H36" s="259">
        <v>2.25</v>
      </c>
      <c r="I36" s="258">
        <v>238.0529689104452</v>
      </c>
      <c r="J36" s="260">
        <f>IF('Segment 1'!$I36=0,"-",'Segment 1'!$I36-$F$4)</f>
        <v>8.0529689104452018</v>
      </c>
      <c r="K36" s="71"/>
    </row>
    <row r="37" spans="2:19" ht="15.75" x14ac:dyDescent="0.25">
      <c r="B37" s="266">
        <v>2.5499999999999985</v>
      </c>
      <c r="C37" s="258">
        <v>100.39484816336545</v>
      </c>
      <c r="D37" s="262">
        <f>IF('Segment 1'!$C37=0,"-",'Segment 1'!$C37-$F$2)</f>
        <v>0.39484816336545236</v>
      </c>
      <c r="E37" s="12">
        <v>2.3499999999999996</v>
      </c>
      <c r="F37" s="258">
        <v>100.91101233580976</v>
      </c>
      <c r="G37" s="262">
        <f>IF('Segment 1'!$F37=0,"-",'Segment 1'!$F37-$F$3)</f>
        <v>0.91101233580975816</v>
      </c>
      <c r="H37" s="263">
        <v>2.2999999999999998</v>
      </c>
      <c r="I37" s="258">
        <v>238.13472302157984</v>
      </c>
      <c r="J37" s="264">
        <f>IF('Segment 1'!$I37=0,"-",'Segment 1'!$I37-$F$4)</f>
        <v>8.1347230215798447</v>
      </c>
      <c r="K37" s="71"/>
      <c r="L37" s="296" t="s">
        <v>134</v>
      </c>
      <c r="M37" s="297"/>
      <c r="N37" s="297"/>
      <c r="O37" s="298"/>
    </row>
    <row r="38" spans="2:19" x14ac:dyDescent="0.25">
      <c r="B38" s="265">
        <v>2.5999999999999983</v>
      </c>
      <c r="C38" s="258">
        <v>100.47495019890744</v>
      </c>
      <c r="D38" s="258">
        <f>IF('Segment 1'!$C38=0,"-",'Segment 1'!$C38-$F$2)</f>
        <v>0.47495019890743606</v>
      </c>
      <c r="E38" s="10">
        <v>2.3999999999999995</v>
      </c>
      <c r="F38" s="258">
        <v>100.94873156662382</v>
      </c>
      <c r="G38" s="258">
        <f>IF('Segment 1'!$F38=0,"-",'Segment 1'!$F38-$F$3)</f>
        <v>0.9487315666238203</v>
      </c>
      <c r="H38" s="259">
        <v>2.3499999999999996</v>
      </c>
      <c r="I38" s="258">
        <v>238.20604853978236</v>
      </c>
      <c r="J38" s="260">
        <f>IF('Segment 1'!$I38=0,"-",'Segment 1'!$I38-$F$4)</f>
        <v>8.2060485397823584</v>
      </c>
      <c r="K38" s="71"/>
      <c r="L38" s="66" t="s">
        <v>29</v>
      </c>
      <c r="M38" s="34" t="s">
        <v>141</v>
      </c>
      <c r="N38" s="34" t="s">
        <v>142</v>
      </c>
      <c r="O38" s="39" t="s">
        <v>144</v>
      </c>
    </row>
    <row r="39" spans="2:19" x14ac:dyDescent="0.25">
      <c r="B39" s="266">
        <v>2.6499999999999981</v>
      </c>
      <c r="C39" s="258">
        <v>100.54675848456384</v>
      </c>
      <c r="D39" s="262">
        <f>IF('Segment 1'!$C39=0,"-",'Segment 1'!$C39-$F$2)</f>
        <v>0.54675848456383846</v>
      </c>
      <c r="E39" s="12">
        <v>2.4499999999999993</v>
      </c>
      <c r="F39" s="258">
        <v>100.98230314169103</v>
      </c>
      <c r="G39" s="262">
        <f>IF('Segment 1'!$F39=0,"-",'Segment 1'!$F39-$F$3)</f>
        <v>0.98230314169103394</v>
      </c>
      <c r="H39" s="263">
        <v>2.3999999999999995</v>
      </c>
      <c r="I39" s="258">
        <v>238.26847091154673</v>
      </c>
      <c r="J39" s="264">
        <f>IF('Segment 1'!$I39=0,"-",'Segment 1'!$I39-$F$4)</f>
        <v>8.2684709115467285</v>
      </c>
      <c r="K39" s="71"/>
      <c r="L39" s="8">
        <v>1</v>
      </c>
      <c r="M39" s="3">
        <f>'P 401 A-B Sizing'!B40</f>
        <v>5</v>
      </c>
      <c r="N39" s="3">
        <f>'P 401 A-B Sizing'!C40</f>
        <v>5</v>
      </c>
      <c r="O39" s="40">
        <f>(Table16[[#This Row],[Z2 (m)]]-Table16[[#This Row],[Z1 (m)]])*9.807</f>
        <v>0</v>
      </c>
    </row>
    <row r="40" spans="2:19" x14ac:dyDescent="0.25">
      <c r="B40" s="265">
        <v>2.699999999999998</v>
      </c>
      <c r="C40" s="258">
        <v>100.61127023998431</v>
      </c>
      <c r="D40" s="267">
        <f>IF('Segment 1'!$C40=0,"-",'Segment 1'!$C40-$F$2)</f>
        <v>0.6112702399843073</v>
      </c>
      <c r="E40" s="268">
        <v>2.4999999999999991</v>
      </c>
      <c r="F40" s="267">
        <v>101.01225778010796</v>
      </c>
      <c r="G40" s="258">
        <f>IF('Segment 1'!$F40=0,"-",'Segment 1'!$F40-$F$3)</f>
        <v>1.0122577801079586</v>
      </c>
      <c r="H40" s="269">
        <v>2.4499999999999993</v>
      </c>
      <c r="I40" s="267">
        <v>238.32326550204263</v>
      </c>
      <c r="J40" s="270">
        <f>IF('Segment 1'!$I40=0,"-",'Segment 1'!$I40-$F$4)</f>
        <v>8.3232655020426307</v>
      </c>
      <c r="K40" s="71"/>
      <c r="L40" s="8">
        <v>2</v>
      </c>
      <c r="M40" s="3">
        <f>'P 401 A-B Sizing'!B41</f>
        <v>5</v>
      </c>
      <c r="N40" s="3">
        <f>'P 401 A-B Sizing'!C41</f>
        <v>5</v>
      </c>
      <c r="O40" s="40">
        <f>(Table16[[#This Row],[Z2 (m)]]-Table16[[#This Row],[Z1 (m)]])*9.807</f>
        <v>0</v>
      </c>
    </row>
    <row r="41" spans="2:19" ht="15.75" thickBot="1" x14ac:dyDescent="0.3">
      <c r="B41" s="266">
        <v>2.7499999999999978</v>
      </c>
      <c r="C41" s="258">
        <v>100.66934678636947</v>
      </c>
      <c r="D41" s="271">
        <f>IF('Segment 1'!$C41=0,"-",'Segment 1'!$C41-$F$2)</f>
        <v>0.66934678636947353</v>
      </c>
      <c r="E41" s="272">
        <v>2.5499999999999989</v>
      </c>
      <c r="F41" s="267">
        <v>101.03904915219512</v>
      </c>
      <c r="G41" s="262">
        <f>IF('Segment 1'!$F41=0,"-",'Segment 1'!$F41-$F$3)</f>
        <v>1.0390491521951191</v>
      </c>
      <c r="H41" s="273">
        <v>2.4999999999999991</v>
      </c>
      <c r="I41" s="267">
        <v>238.37150278893259</v>
      </c>
      <c r="J41" s="274">
        <f>IF('Segment 1'!$I41=0,"-",'Segment 1'!$I41-$F$4)</f>
        <v>8.3715027889325881</v>
      </c>
      <c r="K41" s="71"/>
      <c r="L41" s="67">
        <v>3</v>
      </c>
      <c r="M41" s="3">
        <f>'P 401 A-B Sizing'!B42</f>
        <v>5</v>
      </c>
      <c r="N41" s="3">
        <f>'P 401 A-B Sizing'!C42</f>
        <v>10</v>
      </c>
      <c r="O41" s="41">
        <f>(Table16[[#This Row],[Z2 (m)]]-Table16[[#This Row],[Z1 (m)]])*9.807</f>
        <v>49.035000000000004</v>
      </c>
    </row>
    <row r="42" spans="2:19" ht="15.75" thickBot="1" x14ac:dyDescent="0.3">
      <c r="B42" s="265">
        <v>2.7999999999999976</v>
      </c>
      <c r="C42" s="258">
        <v>100.72173416338539</v>
      </c>
      <c r="D42" s="267">
        <f>IF('Segment 1'!$C42=0,"-",'Segment 1'!$C42-$F$2)</f>
        <v>0.72173416338539198</v>
      </c>
      <c r="E42" s="268">
        <v>2.5999999999999988</v>
      </c>
      <c r="F42" s="267">
        <v>101.06306633727773</v>
      </c>
      <c r="G42" s="258">
        <f>IF('Segment 1'!$F42=0,"-",'Segment 1'!$F42-$F$3)</f>
        <v>1.063066337277732</v>
      </c>
      <c r="H42" s="269">
        <v>2.5499999999999989</v>
      </c>
      <c r="I42" s="267">
        <v>238.41408466580884</v>
      </c>
      <c r="J42" s="270">
        <f>IF('Segment 1'!$I42=0,"-",'Segment 1'!$I42-$F$4)</f>
        <v>8.4140846658088435</v>
      </c>
      <c r="K42" s="71"/>
    </row>
    <row r="43" spans="2:19" ht="15.75" x14ac:dyDescent="0.25">
      <c r="B43" s="266">
        <v>2.8499999999999974</v>
      </c>
      <c r="C43" s="258">
        <v>100.76908031193176</v>
      </c>
      <c r="D43" s="271">
        <f>IF('Segment 1'!$C43=0,"-",'Segment 1'!$C43-$F$2)</f>
        <v>0.7690803119317593</v>
      </c>
      <c r="E43" s="272">
        <v>2.6499999999999986</v>
      </c>
      <c r="F43" s="267">
        <v>101.08464406980734</v>
      </c>
      <c r="G43" s="262">
        <f>IF('Segment 1'!$F43=0,"-",'Segment 1'!$F43-$F$3)</f>
        <v>1.0846440698073394</v>
      </c>
      <c r="H43" s="273">
        <v>2.5999999999999988</v>
      </c>
      <c r="I43" s="267">
        <v>238.45177374020426</v>
      </c>
      <c r="J43" s="274">
        <f>IF('Segment 1'!$I43=0,"-",'Segment 1'!$I43-$F$4)</f>
        <v>8.4517737402042599</v>
      </c>
      <c r="K43" s="71"/>
      <c r="L43" s="296" t="s">
        <v>135</v>
      </c>
      <c r="M43" s="297"/>
      <c r="N43" s="297"/>
      <c r="O43" s="298"/>
    </row>
    <row r="44" spans="2:19" x14ac:dyDescent="0.25">
      <c r="B44" s="265">
        <v>2.8999999999999972</v>
      </c>
      <c r="C44" s="258">
        <v>100.81194944398112</v>
      </c>
      <c r="D44" s="267">
        <f>IF('Segment 1'!$C44=0,"-",'Segment 1'!$C44-$F$2)</f>
        <v>0.81194944398112057</v>
      </c>
      <c r="E44" s="268">
        <v>2.6999999999999984</v>
      </c>
      <c r="F44" s="267">
        <v>101.10407120013647</v>
      </c>
      <c r="G44" s="258">
        <f>IF('Segment 1'!$F44=0,"-",'Segment 1'!$F44-$F$3)</f>
        <v>1.1040712001364739</v>
      </c>
      <c r="H44" s="269">
        <v>2.6499999999999986</v>
      </c>
      <c r="I44" s="267">
        <v>238.48521708382285</v>
      </c>
      <c r="J44" s="270">
        <f>IF('Segment 1'!$I44=0,"-",'Segment 1'!$I44-$F$4)</f>
        <v>8.485217083822846</v>
      </c>
      <c r="K44" s="71"/>
      <c r="L44" s="66" t="s">
        <v>29</v>
      </c>
      <c r="M44" s="34" t="s">
        <v>6</v>
      </c>
      <c r="N44" s="34" t="s">
        <v>7</v>
      </c>
      <c r="O44" s="39" t="s">
        <v>145</v>
      </c>
    </row>
    <row r="45" spans="2:19" x14ac:dyDescent="0.25">
      <c r="B45" s="266">
        <v>2.9499999999999971</v>
      </c>
      <c r="C45" s="258">
        <v>100.85083409974736</v>
      </c>
      <c r="D45" s="271">
        <f>IF('Segment 1'!$C45=0,"-",'Segment 1'!$C45-$F$2)</f>
        <v>0.85083409974735957</v>
      </c>
      <c r="E45" s="272">
        <v>2.7499999999999982</v>
      </c>
      <c r="F45" s="267">
        <v>101.12159770784216</v>
      </c>
      <c r="G45" s="262">
        <f>IF('Segment 1'!$F45=0,"-",'Segment 1'!$F45-$F$3)</f>
        <v>1.121597707842156</v>
      </c>
      <c r="H45" s="273">
        <v>2.6999999999999984</v>
      </c>
      <c r="I45" s="267">
        <v>238.51496556821664</v>
      </c>
      <c r="J45" s="274">
        <f>IF('Segment 1'!$I45=0,"-",'Segment 1'!$I45-$F$4)</f>
        <v>8.5149655682166383</v>
      </c>
      <c r="K45" s="71"/>
      <c r="L45" s="8">
        <v>1</v>
      </c>
      <c r="M45" s="3">
        <f>'P 401 A-B Sizing'!B46</f>
        <v>101.325</v>
      </c>
      <c r="N45" s="3">
        <f>'P 401 A-B Sizing'!C46</f>
        <v>101.14614632122145</v>
      </c>
      <c r="O45" s="40">
        <f>(Table17[[#This Row],[P1 (kPa)]]-Table17[[#This Row],[P2 (kPa)]])/Table6[Density (kg/m3)]</f>
        <v>2.2789714421324127E-4</v>
      </c>
    </row>
    <row r="46" spans="2:19" x14ac:dyDescent="0.25">
      <c r="B46" s="265">
        <v>2.9999999999999969</v>
      </c>
      <c r="C46" s="258">
        <v>100.88616529664858</v>
      </c>
      <c r="D46" s="267">
        <f>IF('Segment 1'!$C46=0,"-",'Segment 1'!$C46-$F$2)</f>
        <v>0.8861652966485849</v>
      </c>
      <c r="E46" s="268">
        <v>2.799999999999998</v>
      </c>
      <c r="F46" s="267">
        <v>101.13744053666164</v>
      </c>
      <c r="G46" s="258">
        <f>IF('Segment 1'!$F46=0,"-",'Segment 1'!$F46-$F$3)</f>
        <v>1.1374405366616429</v>
      </c>
      <c r="H46" s="269">
        <v>2.7499999999999982</v>
      </c>
      <c r="I46" s="267">
        <v>238.54148967143772</v>
      </c>
      <c r="J46" s="270">
        <f>IF('Segment 1'!$I46=0,"-",'Segment 1'!$I46-$F$4)</f>
        <v>8.5414896714377164</v>
      </c>
      <c r="K46" s="71"/>
      <c r="L46" s="8">
        <v>2</v>
      </c>
      <c r="M46" s="3">
        <f>'P 401 A-B Sizing'!B47</f>
        <v>101.325</v>
      </c>
      <c r="N46" s="3">
        <f>'P 401 A-B Sizing'!C47</f>
        <v>99.661206319128638</v>
      </c>
      <c r="O46" s="40">
        <f>(Table17[[#This Row],[P1 (kPa)]]-Table17[[#This Row],[P2 (kPa)]])/Table6[Density (kg/m3)]</f>
        <v>2.1200225291429214E-3</v>
      </c>
    </row>
    <row r="47" spans="2:19" ht="15.75" thickBot="1" x14ac:dyDescent="0.3">
      <c r="B47" s="266">
        <v>3.0499999999999967</v>
      </c>
      <c r="C47" s="258">
        <v>100.91832109834253</v>
      </c>
      <c r="D47" s="271">
        <f>IF('Segment 1'!$C47=0,"-",'Segment 1'!$C47-$F$2)</f>
        <v>0.91832109834253117</v>
      </c>
      <c r="E47" s="272">
        <v>2.8499999999999979</v>
      </c>
      <c r="F47" s="267">
        <v>101.1517884662502</v>
      </c>
      <c r="G47" s="262">
        <f>IF('Segment 1'!$F47=0,"-",'Segment 1'!$F47-$F$3)</f>
        <v>1.1517884662501956</v>
      </c>
      <c r="H47" s="273">
        <v>2.799999999999998</v>
      </c>
      <c r="I47" s="267">
        <v>238.56519245104536</v>
      </c>
      <c r="J47" s="274">
        <f>IF('Segment 1'!$I47=0,"-",'Segment 1'!$I47-$F$4)</f>
        <v>8.5651924510453625</v>
      </c>
      <c r="K47" s="71"/>
      <c r="L47" s="67">
        <v>3</v>
      </c>
      <c r="M47" s="3">
        <f>'P 401 A-B Sizing'!B48</f>
        <v>234.66120631912864</v>
      </c>
      <c r="N47" s="3">
        <f>'P 401 A-B Sizing'!C48</f>
        <v>235.13295595114201</v>
      </c>
      <c r="O47" s="41">
        <f>(Table17[[#This Row],[P1 (kPa)]]-Table17[[#This Row],[P2 (kPa)]])/Table6[Density (kg/m3)]</f>
        <v>-6.0110809379889209E-4</v>
      </c>
    </row>
    <row r="48" spans="2:19" x14ac:dyDescent="0.25">
      <c r="B48" s="265">
        <v>3.0999999999999965</v>
      </c>
      <c r="C48" s="258">
        <v>100.94763387126775</v>
      </c>
      <c r="D48" s="267">
        <f>IF('Segment 1'!$C48=0,"-",'Segment 1'!$C48-$F$2)</f>
        <v>0.94763387126775456</v>
      </c>
      <c r="E48" s="268">
        <v>2.8999999999999977</v>
      </c>
      <c r="F48" s="267">
        <v>101.16480619363726</v>
      </c>
      <c r="G48" s="258">
        <f>IF('Segment 1'!$F48=0,"-",'Segment 1'!$F48-$F$3)</f>
        <v>1.1648061936372613</v>
      </c>
      <c r="H48" s="269">
        <v>2.8499999999999979</v>
      </c>
      <c r="I48" s="267">
        <v>238.58642023211681</v>
      </c>
      <c r="J48" s="270">
        <f>IF('Segment 1'!$I48=0,"-",'Segment 1'!$I48-$F$4)</f>
        <v>8.5864202321168079</v>
      </c>
      <c r="K48" s="71"/>
    </row>
    <row r="49" spans="2:11" x14ac:dyDescent="0.25">
      <c r="B49" s="266">
        <v>3.1499999999999964</v>
      </c>
      <c r="C49" s="258">
        <v>100.97439644734047</v>
      </c>
      <c r="D49" s="271">
        <f>IF('Segment 1'!$C49=0,"-",'Segment 1'!$C49-$F$2)</f>
        <v>0.97439644734046738</v>
      </c>
      <c r="E49" s="272">
        <v>2.9499999999999975</v>
      </c>
      <c r="F49" s="267">
        <v>101.17663776382537</v>
      </c>
      <c r="G49" s="262">
        <f>IF('Segment 1'!$F49=0,"-",'Segment 1'!$F49-$F$3)</f>
        <v>1.1766377638253687</v>
      </c>
      <c r="H49" s="273">
        <v>2.8999999999999977</v>
      </c>
      <c r="I49" s="267">
        <v>238.60547144511119</v>
      </c>
      <c r="J49" s="274">
        <f>IF('Segment 1'!$I49=0,"-",'Segment 1'!$I49-$F$4)</f>
        <v>8.605471445111192</v>
      </c>
      <c r="K49" s="71"/>
    </row>
    <row r="50" spans="2:11" x14ac:dyDescent="0.25">
      <c r="B50" s="8">
        <v>3.1999999999999962</v>
      </c>
      <c r="C50" s="3">
        <v>100.99886737219174</v>
      </c>
      <c r="D50" s="275">
        <f>IF('Segment 1'!$C50=0,"-",'Segment 1'!$C50-$F$2)</f>
        <v>0.99886737219173938</v>
      </c>
      <c r="E50" s="96">
        <v>2.9999999999999973</v>
      </c>
      <c r="F50" s="96">
        <v>101.18740946245826</v>
      </c>
      <c r="G50" s="275">
        <f>IF('Segment 1'!$F50=0,"-",'Segment 1'!$F50-$F$3)</f>
        <v>1.1874094624582625</v>
      </c>
      <c r="H50" s="276">
        <v>2.9499999999999975</v>
      </c>
      <c r="I50" s="96">
        <v>238.62260395975429</v>
      </c>
      <c r="J50" s="277">
        <f>IF('Segment 1'!$I50=0,"-",'Segment 1'!$I50-$F$4)</f>
        <v>8.6226039597542865</v>
      </c>
      <c r="K50" s="68"/>
    </row>
    <row r="51" spans="2:11" x14ac:dyDescent="0.25">
      <c r="B51" s="8">
        <v>3.249999999999996</v>
      </c>
      <c r="C51" s="3">
        <v>101.02127538661031</v>
      </c>
      <c r="D51" s="275">
        <f>IF('Segment 1'!$C51=0,"-",'Segment 1'!$C51-$F$2)</f>
        <v>1.0212753866103128</v>
      </c>
      <c r="E51" s="96">
        <v>3.0499999999999972</v>
      </c>
      <c r="F51" s="96">
        <v>101.1972322623607</v>
      </c>
      <c r="G51" s="275">
        <f>IF('Segment 1'!$F51=0,"-",'Segment 1'!$F51-$F$3)</f>
        <v>1.1972322623606999</v>
      </c>
      <c r="H51" s="276">
        <v>2.9999999999999973</v>
      </c>
      <c r="I51" s="96">
        <v>238.63804119167926</v>
      </c>
      <c r="J51" s="277">
        <f>IF('Segment 1'!$I51=0,"-",'Segment 1'!$I51-$F$4)</f>
        <v>8.6380411916792639</v>
      </c>
      <c r="K51" s="68"/>
    </row>
    <row r="52" spans="2:11" x14ac:dyDescent="0.25">
      <c r="B52" s="8">
        <v>3.2999999999999958</v>
      </c>
      <c r="C52" s="3">
        <v>101.04182326313901</v>
      </c>
      <c r="D52" s="275">
        <f>IF('Segment 1'!$C52=0,"-",'Segment 1'!$C52-$F$2)</f>
        <v>1.0418232631390083</v>
      </c>
      <c r="E52" s="96">
        <v>3.099999999999997</v>
      </c>
      <c r="F52" s="96">
        <v>101.20620389885732</v>
      </c>
      <c r="G52" s="275">
        <f>IF('Segment 1'!$F52=0,"-",'Segment 1'!$F52-$F$3)</f>
        <v>1.2062038988573249</v>
      </c>
      <c r="H52" s="276">
        <v>3.0499999999999972</v>
      </c>
      <c r="I52" s="96">
        <v>238.65197720395474</v>
      </c>
      <c r="J52" s="277">
        <f>IF('Segment 1'!$I52=0,"-",'Segment 1'!$I52-$F$4)</f>
        <v>8.6519772039547433</v>
      </c>
      <c r="K52" s="68"/>
    </row>
    <row r="53" spans="2:11" x14ac:dyDescent="0.25">
      <c r="B53" s="8">
        <v>3.3499999999999956</v>
      </c>
      <c r="C53" s="3">
        <v>101.06069109885095</v>
      </c>
      <c r="D53" s="275">
        <f>IF('Segment 1'!$C53=0,"-",'Segment 1'!$C53-$F$2)</f>
        <v>1.0606910988509526</v>
      </c>
      <c r="E53" s="96">
        <v>3.1499999999999968</v>
      </c>
      <c r="F53" s="96">
        <v>101.21441063520952</v>
      </c>
      <c r="G53" s="275">
        <f>IF('Segment 1'!$F53=0,"-",'Segment 1'!$F53-$F$3)</f>
        <v>1.2144106352095179</v>
      </c>
      <c r="H53" s="276">
        <v>3.099999999999997</v>
      </c>
      <c r="I53" s="96">
        <v>238.66458098250251</v>
      </c>
      <c r="J53" s="277">
        <f>IF('Segment 1'!$I53=0,"-",'Segment 1'!$I53-$F$4)</f>
        <v>8.664580982502514</v>
      </c>
      <c r="K53" s="68"/>
    </row>
    <row r="54" spans="2:11" x14ac:dyDescent="0.25">
      <c r="B54" s="8">
        <v>3.3999999999999955</v>
      </c>
      <c r="C54" s="3">
        <v>101.0780391482531</v>
      </c>
      <c r="D54" s="275">
        <f>IF('Segment 1'!$C54=0,"-",'Segment 1'!$C54-$F$2)</f>
        <v>1.0780391482530973</v>
      </c>
      <c r="E54" s="96">
        <v>3.1999999999999966</v>
      </c>
      <c r="F54" s="96">
        <v>101.22192876857346</v>
      </c>
      <c r="G54" s="275">
        <f>IF('Segment 1'!$F54=0,"-",'Segment 1'!$F54-$F$3)</f>
        <v>1.2219287685734628</v>
      </c>
      <c r="H54" s="276">
        <v>3.1499999999999968</v>
      </c>
      <c r="I54" s="96">
        <v>238.6760000301999</v>
      </c>
      <c r="J54" s="277">
        <f>IF('Segment 1'!$I54=0,"-",'Segment 1'!$I54-$F$4)</f>
        <v>8.6760000301999014</v>
      </c>
      <c r="K54" s="72"/>
    </row>
    <row r="55" spans="2:11" x14ac:dyDescent="0.25">
      <c r="B55" s="8">
        <v>3.4499999999999953</v>
      </c>
      <c r="C55" s="3">
        <v>101.09401026627847</v>
      </c>
      <c r="D55" s="275">
        <f>IF('Segment 1'!$C55=0,"-",'Segment 1'!$C55-$F$2)</f>
        <v>1.0940102662784739</v>
      </c>
      <c r="E55" s="96">
        <v>3.2499999999999964</v>
      </c>
      <c r="F55" s="96">
        <v>101.22882591803342</v>
      </c>
      <c r="G55" s="275">
        <f>IF('Segment 1'!$F55=0,"-",'Segment 1'!$F55-$F$3)</f>
        <v>1.2288259180334222</v>
      </c>
      <c r="H55" s="276">
        <v>3.1999999999999966</v>
      </c>
      <c r="I55" s="96">
        <v>238.68636339722116</v>
      </c>
      <c r="J55" s="277">
        <f>IF('Segment 1'!$I55=0,"-",'Segment 1'!$I55-$F$4)</f>
        <v>8.6863633972211574</v>
      </c>
      <c r="K55" s="72"/>
    </row>
    <row r="56" spans="2:11" x14ac:dyDescent="0.25">
      <c r="B56" s="8">
        <v>3.4999999999999951</v>
      </c>
      <c r="C56" s="3">
        <v>101.1087320198386</v>
      </c>
      <c r="D56" s="275">
        <f>IF('Segment 1'!$C56=0,"-",'Segment 1'!$C56-$F$2)</f>
        <v>1.1087320198385981</v>
      </c>
      <c r="E56" s="96">
        <v>3.2999999999999963</v>
      </c>
      <c r="F56" s="96">
        <v>101.23516212908036</v>
      </c>
      <c r="G56" s="275">
        <f>IF('Segment 1'!$F56=0,"-",'Segment 1'!$F56-$F$3)</f>
        <v>1.2351621290803649</v>
      </c>
      <c r="H56" s="276">
        <v>3.2499999999999964</v>
      </c>
      <c r="I56" s="96">
        <v>238.69578424339448</v>
      </c>
      <c r="J56" s="277">
        <f>IF('Segment 1'!$I56=0,"-",'Segment 1'!$I56-$F$4)</f>
        <v>8.6957842433944847</v>
      </c>
      <c r="K56" s="72"/>
    </row>
    <row r="57" spans="2:11" x14ac:dyDescent="0.25">
      <c r="B57" s="8">
        <v>3.5499999999999949</v>
      </c>
      <c r="C57" s="3">
        <v>101.1223185169396</v>
      </c>
      <c r="D57" s="275">
        <f>IF('Segment 1'!$C57=0,"-",'Segment 1'!$C57-$F$2)</f>
        <v>1.1223185169396004</v>
      </c>
      <c r="E57" s="96">
        <v>3.3499999999999961</v>
      </c>
      <c r="F57" s="96">
        <v>101.24099082305196</v>
      </c>
      <c r="G57" s="275">
        <f>IF('Segment 1'!$F57=0,"-",'Segment 1'!$F57-$F$3)</f>
        <v>1.2409908230519591</v>
      </c>
      <c r="H57" s="276">
        <v>3.2999999999999963</v>
      </c>
      <c r="I57" s="96">
        <v>238.70436201087557</v>
      </c>
      <c r="J57" s="277">
        <f>IF('Segment 1'!$I57=0,"-",'Segment 1'!$I57-$F$4)</f>
        <v>8.7043620108755704</v>
      </c>
      <c r="K57" s="43"/>
    </row>
    <row r="58" spans="2:11" x14ac:dyDescent="0.25">
      <c r="B58" s="8">
        <v>3.5999999999999948</v>
      </c>
      <c r="C58" s="3">
        <v>101.13487199454065</v>
      </c>
      <c r="D58" s="45">
        <f>IF('Segment 1'!$C58=0,"-",'Segment 1'!$C58-$F$2)</f>
        <v>1.1348719945406458</v>
      </c>
      <c r="E58" s="3">
        <v>3.3999999999999959</v>
      </c>
      <c r="F58" s="3">
        <v>101.24635961526505</v>
      </c>
      <c r="G58" s="45">
        <f>IF('Segment 1'!$F58=0,"-",'Segment 1'!$F58-$F$3)</f>
        <v>1.2463596152650496</v>
      </c>
      <c r="H58" s="278">
        <v>3.3499999999999961</v>
      </c>
      <c r="I58" s="3">
        <v>238.71218427136435</v>
      </c>
      <c r="J58" s="279">
        <f>IF('Segment 1'!$I58=0,"-",'Segment 1'!$I58-$F$4)</f>
        <v>8.7121842713643503</v>
      </c>
    </row>
    <row r="59" spans="2:11" x14ac:dyDescent="0.25">
      <c r="B59" s="8">
        <v>3.6499999999999946</v>
      </c>
      <c r="C59" s="3">
        <v>101.14648419984803</v>
      </c>
      <c r="D59" s="45">
        <f>IF('Segment 1'!$C59=0,"-",'Segment 1'!$C59-$F$2)</f>
        <v>1.1464841998480324</v>
      </c>
      <c r="E59" s="3">
        <v>3.4499999999999957</v>
      </c>
      <c r="F59" s="3">
        <v>101.25131102164724</v>
      </c>
      <c r="G59" s="45">
        <f>IF('Segment 1'!$F59=0,"-",'Segment 1'!$F59-$F$3)</f>
        <v>1.2513110216472398</v>
      </c>
      <c r="H59" s="278">
        <v>3.3999999999999959</v>
      </c>
      <c r="I59" s="3">
        <v>238.7193283007156</v>
      </c>
      <c r="J59" s="279">
        <f>IF('Segment 1'!$I59=0,"-",'Segment 1'!$I59-$F$4)</f>
        <v>8.7193283007156026</v>
      </c>
    </row>
    <row r="60" spans="2:11" x14ac:dyDescent="0.25">
      <c r="B60" s="8">
        <v>3.6999999999999944</v>
      </c>
      <c r="C60" s="3">
        <v>101.15723759434781</v>
      </c>
      <c r="D60" s="45">
        <f>IF('Segment 1'!$C60=0,"-",'Segment 1'!$C60-$F$2)</f>
        <v>1.157237594347805</v>
      </c>
      <c r="E60" s="3">
        <v>3.4999999999999956</v>
      </c>
      <c r="F60" s="3">
        <v>101.25588307044561</v>
      </c>
      <c r="G60" s="45">
        <f>IF('Segment 1'!$F60=0,"-",'Segment 1'!$F60-$F$3)</f>
        <v>1.2558830704456057</v>
      </c>
      <c r="H60" s="278">
        <v>3.4499999999999957</v>
      </c>
      <c r="I60" s="3">
        <v>238.72586242456899</v>
      </c>
      <c r="J60" s="279">
        <f>IF('Segment 1'!$I60=0,"-",'Segment 1'!$I60-$F$4)</f>
        <v>8.7258624245689873</v>
      </c>
    </row>
    <row r="61" spans="2:11" x14ac:dyDescent="0.25">
      <c r="B61" s="8">
        <v>3.7499999999999942</v>
      </c>
      <c r="C61" s="3">
        <v>101.16720640538776</v>
      </c>
      <c r="D61" s="45">
        <f>IF('Segment 1'!$C61=0,"-",'Segment 1'!$C61-$F$2)</f>
        <v>1.1672064053877591</v>
      </c>
      <c r="E61" s="3">
        <v>3.5499999999999954</v>
      </c>
      <c r="F61" s="3">
        <v>101.26010983292618</v>
      </c>
      <c r="G61" s="45">
        <f>IF('Segment 1'!$F61=0,"-",'Segment 1'!$F61-$F$3)</f>
        <v>1.260109832926176</v>
      </c>
      <c r="H61" s="278">
        <v>3.4999999999999956</v>
      </c>
      <c r="I61" s="3">
        <v>238.73184717111766</v>
      </c>
      <c r="J61" s="279">
        <f>IF('Segment 1'!$I61=0,"-",'Segment 1'!$I61-$F$4)</f>
        <v>8.7318471711176642</v>
      </c>
    </row>
    <row r="62" spans="2:11" x14ac:dyDescent="0.25">
      <c r="B62" s="8">
        <v>3.799999999999994</v>
      </c>
      <c r="C62" s="3">
        <v>101.1764575463659</v>
      </c>
      <c r="D62" s="45">
        <f>IF('Segment 1'!$C62=0,"-",'Segment 1'!$C62-$F$2)</f>
        <v>1.1764575463658957</v>
      </c>
      <c r="E62" s="3">
        <v>3.5999999999999952</v>
      </c>
      <c r="F62" s="3">
        <v>101.26402188477333</v>
      </c>
      <c r="G62" s="45">
        <f>IF('Segment 1'!$F62=0,"-",'Segment 1'!$F62-$F$3)</f>
        <v>1.264021884773328</v>
      </c>
      <c r="H62" s="278">
        <v>3.5499999999999954</v>
      </c>
      <c r="I62" s="3">
        <v>238.7373362610069</v>
      </c>
      <c r="J62" s="279">
        <f>IF('Segment 1'!$I62=0,"-",'Segment 1'!$I62-$F$4)</f>
        <v>8.7373362610069023</v>
      </c>
    </row>
    <row r="63" spans="2:11" x14ac:dyDescent="0.25">
      <c r="B63" s="8">
        <v>3.8499999999999939</v>
      </c>
      <c r="C63" s="3">
        <v>101.18505142343865</v>
      </c>
      <c r="D63" s="45">
        <f>IF('Segment 1'!$C63=0,"-",'Segment 1'!$C63-$F$2)</f>
        <v>1.1850514234386509</v>
      </c>
      <c r="E63" s="3">
        <v>3.649999999999995</v>
      </c>
      <c r="F63" s="3">
        <v>101.26764670806764</v>
      </c>
      <c r="G63" s="45">
        <f>IF('Segment 1'!$F63=0,"-",'Segment 1'!$F63-$F$3)</f>
        <v>1.2676467080676446</v>
      </c>
      <c r="H63" s="278">
        <v>3.5999999999999952</v>
      </c>
      <c r="I63" s="3">
        <v>238.74237745933706</v>
      </c>
      <c r="J63" s="279">
        <f>IF('Segment 1'!$I63=0,"-",'Segment 1'!$I63-$F$4)</f>
        <v>8.7423774593370638</v>
      </c>
    </row>
    <row r="64" spans="2:11" x14ac:dyDescent="0.25">
      <c r="B64" s="8">
        <v>3.8999999999999937</v>
      </c>
      <c r="C64" s="3">
        <v>101.19304264402089</v>
      </c>
      <c r="D64" s="45">
        <f>IF('Segment 1'!$C64=0,"-",'Segment 1'!$C64-$F$2)</f>
        <v>1.1930426440208919</v>
      </c>
      <c r="E64" s="3">
        <v>3.6999999999999948</v>
      </c>
      <c r="F64" s="3">
        <v>101.27100904219807</v>
      </c>
      <c r="G64" s="45">
        <f>IF('Segment 1'!$F64=0,"-",'Segment 1'!$F64-$F$3)</f>
        <v>1.2710090421980738</v>
      </c>
      <c r="H64" s="278">
        <v>3.649999999999995</v>
      </c>
      <c r="I64" s="3">
        <v>238.74701331062471</v>
      </c>
      <c r="J64" s="279">
        <f>IF('Segment 1'!$I64=0,"-",'Segment 1'!$I64-$F$4)</f>
        <v>8.747013310624709</v>
      </c>
    </row>
    <row r="65" spans="2:10" x14ac:dyDescent="0.25">
      <c r="B65" s="8">
        <v>3.9499999999999935</v>
      </c>
      <c r="C65" s="3">
        <v>101.20048064012757</v>
      </c>
      <c r="D65" s="45">
        <f>IF('Segment 1'!$C65=0,"-",'Segment 1'!$C65-$F$2)</f>
        <v>1.2004806401275658</v>
      </c>
      <c r="E65" s="3">
        <v>3.7499999999999947</v>
      </c>
      <c r="F65" s="3">
        <v>101.27413119079303</v>
      </c>
      <c r="G65" s="45">
        <f>IF('Segment 1'!$F65=0,"-",'Segment 1'!$F65-$F$3)</f>
        <v>1.2741311907930282</v>
      </c>
      <c r="H65" s="278">
        <v>3.6999999999999948</v>
      </c>
      <c r="I65" s="3">
        <v>238.751281774181</v>
      </c>
      <c r="J65" s="279">
        <f>IF('Segment 1'!$I65=0,"-",'Segment 1'!$I65-$F$4)</f>
        <v>8.7512817741809954</v>
      </c>
    </row>
    <row r="66" spans="2:10" x14ac:dyDescent="0.25">
      <c r="B66" s="8">
        <v>3.9999999999999933</v>
      </c>
      <c r="C66" s="3">
        <v>101.20741021773104</v>
      </c>
      <c r="D66" s="45">
        <f>IF('Segment 1'!$C66=0,"-",'Segment 1'!$C66-$F$2)</f>
        <v>1.207410217731038</v>
      </c>
      <c r="E66" s="3">
        <v>3.7999999999999945</v>
      </c>
      <c r="F66" s="3">
        <v>101.27703329069166</v>
      </c>
      <c r="G66" s="45">
        <f>IF('Segment 1'!$F66=0,"-",'Segment 1'!$F66-$F$3)</f>
        <v>1.2770332906916622</v>
      </c>
      <c r="H66" s="278">
        <v>3.7499999999999947</v>
      </c>
      <c r="I66" s="3">
        <v>238.75521677456297</v>
      </c>
      <c r="J66" s="279">
        <f>IF('Segment 1'!$I66=0,"-",'Segment 1'!$I66-$F$4)</f>
        <v>8.7552167745629674</v>
      </c>
    </row>
    <row r="67" spans="2:10" x14ac:dyDescent="0.25">
      <c r="B67" s="8">
        <v>4.0499999999999936</v>
      </c>
      <c r="C67" s="3">
        <v>101.21387204172181</v>
      </c>
      <c r="D67" s="45">
        <f>IF('Segment 1'!$C67=0,"-",'Segment 1'!$C67-$F$2)</f>
        <v>1.2138720417218138</v>
      </c>
      <c r="E67" s="3">
        <v>3.8499999999999943</v>
      </c>
      <c r="F67" s="3">
        <v>101.27973354808421</v>
      </c>
      <c r="G67" s="45">
        <f>IF('Segment 1'!$F67=0,"-",'Segment 1'!$F67-$F$3)</f>
        <v>1.2797335480842094</v>
      </c>
      <c r="H67" s="278">
        <v>3.7999999999999945</v>
      </c>
      <c r="I67" s="3">
        <v>238.75884867943088</v>
      </c>
      <c r="J67" s="279">
        <f>IF('Segment 1'!$I67=0,"-",'Segment 1'!$I67-$F$4)</f>
        <v>8.7588486794308835</v>
      </c>
    </row>
    <row r="68" spans="2:10" x14ac:dyDescent="0.25">
      <c r="B68" s="8">
        <v>4.0999999999999934</v>
      </c>
      <c r="C68" s="3">
        <v>101.21990306471631</v>
      </c>
      <c r="D68" s="45">
        <f>IF('Segment 1'!$C68=0,"-",'Segment 1'!$C68-$F$2)</f>
        <v>1.2199030647163056</v>
      </c>
      <c r="E68" s="3">
        <v>3.8999999999999941</v>
      </c>
      <c r="F68" s="3">
        <v>101.28224844620046</v>
      </c>
      <c r="G68" s="45">
        <f>IF('Segment 1'!$F68=0,"-",'Segment 1'!$F68-$F$3)</f>
        <v>1.2822484462004553</v>
      </c>
      <c r="H68" s="278">
        <v>3.8499999999999943</v>
      </c>
      <c r="I68" s="3">
        <v>238.7622047152154</v>
      </c>
      <c r="J68" s="279">
        <f>IF('Segment 1'!$I68=0,"-",'Segment 1'!$I68-$F$4)</f>
        <v>8.7622047152154039</v>
      </c>
    </row>
    <row r="69" spans="2:10" x14ac:dyDescent="0.25">
      <c r="B69" s="8">
        <v>4.1499999999999932</v>
      </c>
      <c r="C69" s="3">
        <v>101.22553690681309</v>
      </c>
      <c r="D69" s="45">
        <f>IF('Segment 1'!$C69=0,"-",'Segment 1'!$C69-$F$2)</f>
        <v>1.2255369068130904</v>
      </c>
      <c r="E69" s="3">
        <v>3.949999999999994</v>
      </c>
      <c r="F69" s="3">
        <v>101.28459292829308</v>
      </c>
      <c r="G69" s="45">
        <f>IF('Segment 1'!$F69=0,"-",'Segment 1'!$F69-$F$3)</f>
        <v>1.2845929282930797</v>
      </c>
      <c r="H69" s="278">
        <v>3.8999999999999941</v>
      </c>
      <c r="I69" s="3">
        <v>238.76530932939232</v>
      </c>
      <c r="J69" s="279">
        <f>IF('Segment 1'!$I69=0,"-",'Segment 1'!$I69-$F$4)</f>
        <v>8.7653093293923234</v>
      </c>
    </row>
    <row r="70" spans="2:10" x14ac:dyDescent="0.25">
      <c r="B70" s="8">
        <v>4.1999999999999931</v>
      </c>
      <c r="C70" s="3">
        <v>101.23080419242716</v>
      </c>
      <c r="D70" s="45">
        <f>IF('Segment 1'!$C70=0,"-",'Segment 1'!$C70-$F$2)</f>
        <v>1.2308041924271578</v>
      </c>
      <c r="E70" s="3">
        <v>3.9999999999999938</v>
      </c>
      <c r="F70" s="3">
        <v>101.28678055912802</v>
      </c>
      <c r="G70" s="45">
        <f>IF('Segment 1'!$F70=0,"-",'Segment 1'!$F70-$F$3)</f>
        <v>1.2867805591280188</v>
      </c>
      <c r="H70" s="278">
        <v>3.949999999999994</v>
      </c>
      <c r="I70" s="3">
        <v>238.76818450682188</v>
      </c>
      <c r="J70" s="279">
        <f>IF('Segment 1'!$I70=0,"-",'Segment 1'!$I70-$F$4)</f>
        <v>8.768184506821882</v>
      </c>
    </row>
    <row r="71" spans="2:10" x14ac:dyDescent="0.25">
      <c r="B71" s="8">
        <v>4.2499999999999929</v>
      </c>
      <c r="C71" s="3">
        <v>101.23573284950227</v>
      </c>
      <c r="D71" s="45">
        <f>IF('Segment 1'!$C71=0,"-",'Segment 1'!$C71-$F$2)</f>
        <v>1.2357328495022699</v>
      </c>
      <c r="E71" s="3">
        <v>4.0499999999999936</v>
      </c>
      <c r="F71" s="3">
        <v>101.28882366774214</v>
      </c>
      <c r="G71" s="45">
        <f>IF('Segment 1'!$F71=0,"-",'Segment 1'!$F71-$F$3)</f>
        <v>1.2888236677421361</v>
      </c>
      <c r="H71" s="278">
        <v>3.9999999999999938</v>
      </c>
      <c r="I71" s="3">
        <v>238.77085004648612</v>
      </c>
      <c r="J71" s="279">
        <f>IF('Segment 1'!$I71=0,"-",'Segment 1'!$I71-$F$4)</f>
        <v>8.7708500464861174</v>
      </c>
    </row>
    <row r="72" spans="2:10" x14ac:dyDescent="0.25">
      <c r="B72" s="8">
        <v>4.2999999999999927</v>
      </c>
      <c r="C72" s="3">
        <v>101.24034837569346</v>
      </c>
      <c r="D72" s="45">
        <f>IF('Segment 1'!$C72=0,"-",'Segment 1'!$C72-$F$2)</f>
        <v>1.2403483756934577</v>
      </c>
      <c r="E72" s="3">
        <v>4.0999999999999934</v>
      </c>
      <c r="F72" s="3">
        <v>101.29073347384433</v>
      </c>
      <c r="G72" s="45">
        <f>IF('Segment 1'!$F72=0,"-",'Segment 1'!$F72-$F$3)</f>
        <v>1.2907334738443268</v>
      </c>
      <c r="H72" s="278">
        <v>4.0499999999999936</v>
      </c>
      <c r="I72" s="3">
        <v>238.77332380401768</v>
      </c>
      <c r="J72" s="279">
        <f>IF('Segment 1'!$I72=0,"-",'Segment 1'!$I72-$F$4)</f>
        <v>8.7733238040176786</v>
      </c>
    </row>
    <row r="73" spans="2:10" x14ac:dyDescent="0.25">
      <c r="B73" s="8">
        <v>4.3499999999999925</v>
      </c>
      <c r="C73" s="3">
        <v>101.24467407550425</v>
      </c>
      <c r="D73" s="45">
        <f>IF('Segment 1'!$C73=0,"-",'Segment 1'!$C73-$F$2)</f>
        <v>1.2446740755042498</v>
      </c>
      <c r="E73" s="3">
        <v>4.1499999999999932</v>
      </c>
      <c r="F73" s="3">
        <v>101.29252019990949</v>
      </c>
      <c r="G73" s="45">
        <f>IF('Segment 1'!$F73=0,"-",'Segment 1'!$F73-$F$3)</f>
        <v>1.2925201999094895</v>
      </c>
      <c r="H73" s="278">
        <v>4.0999999999999934</v>
      </c>
      <c r="I73" s="3">
        <v>238.77562190462061</v>
      </c>
      <c r="J73" s="279">
        <f>IF('Segment 1'!$I73=0,"-",'Segment 1'!$I73-$F$4)</f>
        <v>8.775621904620607</v>
      </c>
    </row>
    <row r="74" spans="2:10" x14ac:dyDescent="0.25">
      <c r="B74" s="8">
        <v>4.3999999999999924</v>
      </c>
      <c r="C74" s="3">
        <v>101.24873127184298</v>
      </c>
      <c r="D74" s="45">
        <f>IF('Segment 1'!$C74=0,"-",'Segment 1'!$C74-$F$2)</f>
        <v>1.2487312718429848</v>
      </c>
      <c r="E74" s="3">
        <v>4.1999999999999931</v>
      </c>
      <c r="F74" s="3">
        <v>101.29419317073697</v>
      </c>
      <c r="G74" s="45">
        <f>IF('Segment 1'!$F74=0,"-",'Segment 1'!$F74-$F$3)</f>
        <v>1.2941931707369747</v>
      </c>
      <c r="H74" s="278">
        <v>4.1499999999999932</v>
      </c>
      <c r="I74" s="3">
        <v>238.77775893031651</v>
      </c>
      <c r="J74" s="279">
        <f>IF('Segment 1'!$I74=0,"-",'Segment 1'!$I74-$F$4)</f>
        <v>8.7777589303165087</v>
      </c>
    </row>
    <row r="75" spans="2:10" x14ac:dyDescent="0.25">
      <c r="B75" s="8">
        <v>4.4499999999999922</v>
      </c>
      <c r="C75" s="3">
        <v>101.25253949501487</v>
      </c>
      <c r="D75" s="45">
        <f>IF('Segment 1'!$C75=0,"-",'Segment 1'!$C75-$F$2)</f>
        <v>1.2525394950148723</v>
      </c>
      <c r="E75" s="3">
        <v>4.2499999999999929</v>
      </c>
      <c r="F75" s="3">
        <v>101.29576090200702</v>
      </c>
      <c r="G75" s="45">
        <f>IF('Segment 1'!$F75=0,"-",'Segment 1'!$F75-$F$3)</f>
        <v>1.295760902007018</v>
      </c>
      <c r="H75" s="278">
        <v>4.1999999999999931</v>
      </c>
      <c r="I75" s="3">
        <v>238.77974808488642</v>
      </c>
      <c r="J75" s="279">
        <f>IF('Segment 1'!$I75=0,"-",'Segment 1'!$I75-$F$4)</f>
        <v>8.7797480848864211</v>
      </c>
    </row>
    <row r="76" spans="2:10" x14ac:dyDescent="0.25">
      <c r="B76" s="8">
        <v>4.499999999999992</v>
      </c>
      <c r="C76" s="3">
        <v>101.25611665178121</v>
      </c>
      <c r="D76" s="45">
        <f>IF('Segment 1'!$C76=0,"-",'Segment 1'!$C76-$F$2)</f>
        <v>1.2561166517812126</v>
      </c>
      <c r="E76" s="3">
        <v>4.2999999999999927</v>
      </c>
      <c r="F76" s="3">
        <v>101.29723117916549</v>
      </c>
      <c r="G76" s="45">
        <f>IF('Segment 1'!$F76=0,"-",'Segment 1'!$F76-$F$3)</f>
        <v>1.2972311791654931</v>
      </c>
      <c r="H76" s="278">
        <v>4.2499999999999929</v>
      </c>
      <c r="I76" s="3">
        <v>238.78160133940028</v>
      </c>
      <c r="J76" s="279">
        <f>IF('Segment 1'!$I76=0,"-",'Segment 1'!$I76-$F$4)</f>
        <v>8.7816013394002823</v>
      </c>
    </row>
    <row r="77" spans="2:10" x14ac:dyDescent="0.25">
      <c r="B77" s="8">
        <v>4.5499999999999918</v>
      </c>
      <c r="C77" s="3">
        <v>101.25947917678447</v>
      </c>
      <c r="D77" s="45">
        <f>IF('Segment 1'!$C77=0,"-",'Segment 1'!$C77-$F$2)</f>
        <v>1.2594791767844669</v>
      </c>
      <c r="E77" s="3">
        <v>4.3499999999999925</v>
      </c>
      <c r="F77" s="3">
        <v>101.298611127793</v>
      </c>
      <c r="G77" s="45">
        <f>IF('Segment 1'!$F77=0,"-",'Segment 1'!$F77-$F$3)</f>
        <v>1.298611127792995</v>
      </c>
      <c r="H77" s="278">
        <v>4.2999999999999927</v>
      </c>
      <c r="I77" s="3">
        <v>238.78332956082278</v>
      </c>
      <c r="J77" s="279">
        <f>IF('Segment 1'!$I77=0,"-",'Segment 1'!$I77-$F$4)</f>
        <v>8.7833295608227786</v>
      </c>
    </row>
    <row r="78" spans="2:10" x14ac:dyDescent="0.25">
      <c r="B78" s="8">
        <v>4.5999999999999917</v>
      </c>
      <c r="C78" s="3">
        <v>101.26264216835099</v>
      </c>
      <c r="D78" s="45">
        <f>IF('Segment 1'!$C78=0,"-",'Segment 1'!$C78-$F$2)</f>
        <v>1.2626421683509932</v>
      </c>
      <c r="E78" s="3">
        <v>4.3999999999999924</v>
      </c>
      <c r="F78" s="3">
        <v>101.29990727646444</v>
      </c>
      <c r="G78" s="45">
        <f>IF('Segment 1'!$F78=0,"-",'Segment 1'!$F78-$F$3)</f>
        <v>1.2999072764644382</v>
      </c>
      <c r="H78" s="278">
        <v>4.3499999999999925</v>
      </c>
      <c r="I78" s="3">
        <v>238.78494262583826</v>
      </c>
      <c r="J78" s="279">
        <f>IF('Segment 1'!$I78=0,"-",'Segment 1'!$I78-$F$4)</f>
        <v>8.784942625838255</v>
      </c>
    </row>
    <row r="79" spans="2:10" x14ac:dyDescent="0.25">
      <c r="B79" s="8">
        <v>4.6499999999999915</v>
      </c>
      <c r="C79" s="3">
        <v>101.26561951043419</v>
      </c>
      <c r="D79" s="45">
        <f>IF('Segment 1'!$C79=0,"-",'Segment 1'!$C79-$F$2)</f>
        <v>1.2656195104341919</v>
      </c>
      <c r="E79" s="3">
        <v>4.4499999999999922</v>
      </c>
      <c r="F79" s="3">
        <v>101.30112561297624</v>
      </c>
      <c r="G79" s="45">
        <f>IF('Segment 1'!$F79=0,"-",'Segment 1'!$F79-$F$3)</f>
        <v>1.3011256129762359</v>
      </c>
      <c r="H79" s="278">
        <v>4.3999999999999924</v>
      </c>
      <c r="I79" s="3">
        <v>238.78644952174605</v>
      </c>
      <c r="J79" s="279">
        <f>IF('Segment 1'!$I79=0,"-",'Segment 1'!$I79-$F$4)</f>
        <v>8.7864495217460501</v>
      </c>
    </row>
    <row r="80" spans="2:10" x14ac:dyDescent="0.25">
      <c r="B80" s="8">
        <v>4.6999999999999913</v>
      </c>
      <c r="C80" s="3">
        <v>101.26842398224545</v>
      </c>
      <c r="D80" s="45">
        <f>IF('Segment 1'!$C80=0,"-",'Segment 1'!$C80-$F$2)</f>
        <v>1.2684239822454515</v>
      </c>
      <c r="E80" s="3">
        <v>4.499999999999992</v>
      </c>
      <c r="F80" s="3">
        <v>101.30227163470749</v>
      </c>
      <c r="G80" s="45">
        <f>IF('Segment 1'!$F80=0,"-",'Segment 1'!$F80-$F$3)</f>
        <v>1.3022716347074947</v>
      </c>
      <c r="H80" s="278">
        <v>4.4499999999999922</v>
      </c>
      <c r="I80" s="3">
        <v>238.78785843602626</v>
      </c>
      <c r="J80" s="279">
        <f>IF('Segment 1'!$I80=0,"-",'Segment 1'!$I80-$F$4)</f>
        <v>8.787858436026255</v>
      </c>
    </row>
    <row r="81" spans="2:10" x14ac:dyDescent="0.25">
      <c r="B81" s="8">
        <v>4.7499999999999911</v>
      </c>
      <c r="C81" s="3">
        <v>101.27106735693292</v>
      </c>
      <c r="D81" s="45">
        <f>IF('Segment 1'!$C81=0,"-",'Segment 1'!$C81-$F$2)</f>
        <v>1.2710673569329174</v>
      </c>
      <c r="E81" s="3">
        <v>4.5499999999999918</v>
      </c>
      <c r="F81" s="3">
        <v>101.30335039378505</v>
      </c>
      <c r="G81" s="45">
        <f>IF('Segment 1'!$F81=0,"-",'Segment 1'!$F81-$F$3)</f>
        <v>1.3033503937850526</v>
      </c>
      <c r="H81" s="278">
        <v>4.499999999999992</v>
      </c>
      <c r="I81" s="3">
        <v>238.78917683596248</v>
      </c>
      <c r="J81" s="279">
        <f>IF('Segment 1'!$I81=0,"-",'Segment 1'!$I81-$F$4)</f>
        <v>8.7891768359624791</v>
      </c>
    </row>
    <row r="82" spans="2:10" x14ac:dyDescent="0.25">
      <c r="B82" s="8">
        <v>4.7999999999999909</v>
      </c>
      <c r="C82" s="3">
        <v>101.2735604905052</v>
      </c>
      <c r="D82" s="45">
        <f>IF('Segment 1'!$C82=0,"-",'Segment 1'!$C82-$F$2)</f>
        <v>1.2735604905052043</v>
      </c>
      <c r="E82" s="3">
        <v>4.5999999999999917</v>
      </c>
      <c r="F82" s="3">
        <v>101.30436653763965</v>
      </c>
      <c r="G82" s="45">
        <f>IF('Segment 1'!$F82=0,"-",'Segment 1'!$F82-$F$3)</f>
        <v>1.3043665376396518</v>
      </c>
      <c r="H82" s="278">
        <v>4.5499999999999918</v>
      </c>
      <c r="I82" s="3">
        <v>238.79041153952491</v>
      </c>
      <c r="J82" s="279">
        <f>IF('Segment 1'!$I82=0,"-",'Segment 1'!$I82-$F$4)</f>
        <v>8.7904115395249107</v>
      </c>
    </row>
    <row r="83" spans="2:10" x14ac:dyDescent="0.25">
      <c r="B83" s="8">
        <v>4.8499999999999908</v>
      </c>
      <c r="C83" s="3">
        <v>101.27591340205559</v>
      </c>
      <c r="D83" s="45">
        <f>IF('Segment 1'!$C83=0,"-",'Segment 1'!$C83-$F$2)</f>
        <v>1.2759134020555933</v>
      </c>
      <c r="E83" s="3">
        <v>4.6499999999999915</v>
      </c>
      <c r="F83" s="3">
        <v>101.30532434546838</v>
      </c>
      <c r="G83" s="45">
        <f>IF('Segment 1'!$F83=0,"-",'Segment 1'!$F83-$F$3)</f>
        <v>1.3053243454683781</v>
      </c>
      <c r="H83" s="278">
        <v>4.5999999999999917</v>
      </c>
      <c r="I83" s="3">
        <v>238.79156877855948</v>
      </c>
      <c r="J83" s="279">
        <f>IF('Segment 1'!$I83=0,"-",'Segment 1'!$I83-$F$4)</f>
        <v>8.7915687785594798</v>
      </c>
    </row>
    <row r="84" spans="2:10" x14ac:dyDescent="0.25">
      <c r="B84" s="8">
        <v>4.8999999999999906</v>
      </c>
      <c r="C84" s="3">
        <v>101.27813534621781</v>
      </c>
      <c r="D84" s="45">
        <f>IF('Segment 1'!$C84=0,"-",'Segment 1'!$C84-$F$2)</f>
        <v>1.2781353462178089</v>
      </c>
      <c r="E84" s="3">
        <v>4.6999999999999913</v>
      </c>
      <c r="F84" s="3">
        <v>101.30622776105584</v>
      </c>
      <c r="G84" s="45">
        <f>IF('Segment 1'!$F84=0,"-",'Segment 1'!$F84-$F$3)</f>
        <v>1.3062277610558368</v>
      </c>
      <c r="H84" s="278">
        <v>4.6499999999999915</v>
      </c>
      <c r="I84" s="3">
        <v>238.79265425519378</v>
      </c>
      <c r="J84" s="279">
        <f>IF('Segment 1'!$I84=0,"-",'Segment 1'!$I84-$F$4)</f>
        <v>8.7926542551937814</v>
      </c>
    </row>
    <row r="85" spans="2:10" x14ac:dyDescent="0.25">
      <c r="B85" s="8">
        <v>4.9499999999999904</v>
      </c>
      <c r="C85" s="3">
        <v>101.28023487867711</v>
      </c>
      <c r="D85" s="45">
        <f>IF('Segment 1'!$C85=0,"-",'Segment 1'!$C85-$F$2)</f>
        <v>1.2802348786771063</v>
      </c>
      <c r="E85" s="3">
        <v>4.7499999999999911</v>
      </c>
      <c r="F85" s="3">
        <v>101.30708042235267</v>
      </c>
      <c r="G85" s="45">
        <f>IF('Segment 1'!$F85=0,"-",'Segment 1'!$F85-$F$3)</f>
        <v>1.3070804223526693</v>
      </c>
      <c r="H85" s="278">
        <v>4.6999999999999913</v>
      </c>
      <c r="I85" s="3">
        <v>238.79367319225415</v>
      </c>
      <c r="J85" s="279">
        <f>IF('Segment 1'!$I85=0,"-",'Segment 1'!$I85-$F$4)</f>
        <v>8.7936731922541469</v>
      </c>
    </row>
    <row r="86" spans="2:10" x14ac:dyDescent="0.25">
      <c r="B86" s="8">
        <v>4.9999999999999902</v>
      </c>
      <c r="C86" s="3">
        <v>101.28221991546522</v>
      </c>
      <c r="D86" s="45">
        <f>IF('Segment 1'!$C86=0,"-",'Segment 1'!$C86-$F$2)</f>
        <v>1.2822199154652196</v>
      </c>
      <c r="E86" s="3">
        <v>4.7999999999999909</v>
      </c>
      <c r="F86" s="3">
        <v>101.30788568816222</v>
      </c>
      <c r="G86" s="45">
        <f>IF('Segment 1'!$F86=0,"-",'Segment 1'!$F86-$F$3)</f>
        <v>1.3078856881622158</v>
      </c>
      <c r="H86" s="278">
        <v>4.7499999999999911</v>
      </c>
      <c r="I86" s="3">
        <v>238.79463037838727</v>
      </c>
      <c r="J86" s="279">
        <f>IF('Segment 1'!$I86=0,"-",'Segment 1'!$I86-$F$4)</f>
        <v>8.7946303783872679</v>
      </c>
    </row>
    <row r="87" spans="2:10" x14ac:dyDescent="0.25">
      <c r="B87" s="8"/>
      <c r="C87" s="3"/>
      <c r="D87" s="45" t="str">
        <f>IF('Segment 1'!$C87=0,"-",'Segment 1'!$C87-$F$2)</f>
        <v>-</v>
      </c>
      <c r="E87" s="3">
        <v>4.8499999999999908</v>
      </c>
      <c r="F87" s="3">
        <v>101.30864666224534</v>
      </c>
      <c r="G87" s="45">
        <f>IF('Segment 1'!$F87=0,"-",'Segment 1'!$F87-$F$3)</f>
        <v>1.3086466622453372</v>
      </c>
      <c r="H87" s="278">
        <v>4.7999999999999909</v>
      </c>
      <c r="I87" s="3">
        <v>238.79553020849349</v>
      </c>
      <c r="J87" s="279">
        <f>IF('Segment 1'!$I87=0,"-",'Segment 1'!$I87-$F$4)</f>
        <v>8.7955302084934885</v>
      </c>
    </row>
    <row r="88" spans="2:10" x14ac:dyDescent="0.25">
      <c r="B88" s="8"/>
      <c r="C88" s="3"/>
      <c r="D88" s="45" t="str">
        <f>IF('Segment 1'!$C88=0,"-",'Segment 1'!$C88-$F$2)</f>
        <v>-</v>
      </c>
      <c r="E88" s="3">
        <v>4.8999999999999906</v>
      </c>
      <c r="F88" s="3">
        <v>101.30936621511702</v>
      </c>
      <c r="G88" s="45">
        <f>IF('Segment 1'!$F88=0,"-",'Segment 1'!$F88-$F$3)</f>
        <v>1.3093662151170236</v>
      </c>
      <c r="H88" s="278">
        <v>4.8499999999999908</v>
      </c>
      <c r="I88" s="3">
        <v>238.79637672000308</v>
      </c>
      <c r="J88" s="279">
        <f>IF('Segment 1'!$I88=0,"-",'Segment 1'!$I88-$F$4)</f>
        <v>8.7963767200030816</v>
      </c>
    </row>
    <row r="89" spans="2:10" x14ac:dyDescent="0.25">
      <c r="B89" s="8"/>
      <c r="C89" s="3"/>
      <c r="D89" s="45" t="str">
        <f>IF('Segment 1'!$C89=0,"-",'Segment 1'!$C89-$F$2)</f>
        <v>-</v>
      </c>
      <c r="E89" s="3">
        <v>4.9499999999999904</v>
      </c>
      <c r="F89" s="3">
        <v>101.31004700377706</v>
      </c>
      <c r="G89" s="45">
        <f>IF('Segment 1'!$F89=0,"-",'Segment 1'!$F89-$F$3)</f>
        <v>1.3100470037770577</v>
      </c>
      <c r="H89" s="278">
        <v>4.8999999999999906</v>
      </c>
      <c r="I89" s="3">
        <v>238.79717362546219</v>
      </c>
      <c r="J89" s="279">
        <f>IF('Segment 1'!$I89=0,"-",'Segment 1'!$I89-$F$4)</f>
        <v>8.7971736254621931</v>
      </c>
    </row>
    <row r="90" spans="2:10" x14ac:dyDescent="0.25">
      <c r="B90" s="8"/>
      <c r="C90" s="3"/>
      <c r="D90" s="45" t="str">
        <f>IF('Segment 1'!$C90=0,"-",'Segment 1'!$C90-$F$2)</f>
        <v>-</v>
      </c>
      <c r="E90" s="3">
        <v>4.9999999999999902</v>
      </c>
      <c r="F90" s="3">
        <v>101.31069148958949</v>
      </c>
      <c r="G90" s="45">
        <f>IF('Segment 1'!$F90=0,"-",'Segment 1'!$F90-$F$3)</f>
        <v>1.3106914895894874</v>
      </c>
      <c r="H90" s="278">
        <v>4.9499999999999904</v>
      </c>
      <c r="I90" s="3">
        <v>238.79792434183841</v>
      </c>
      <c r="J90" s="279">
        <f>IF('Segment 1'!$I90=0,"-",'Segment 1'!$I90-$F$4)</f>
        <v>8.7979243418384101</v>
      </c>
    </row>
    <row r="91" spans="2:10" x14ac:dyDescent="0.25">
      <c r="B91" s="8"/>
      <c r="C91" s="3"/>
      <c r="D91" s="45" t="str">
        <f>IF('Segment 1'!$C91=0,"-",'Segment 1'!$C91-$F$2)</f>
        <v>-</v>
      </c>
      <c r="E91" s="3"/>
      <c r="F91" s="3"/>
      <c r="G91" s="45" t="str">
        <f>IF('Segment 1'!$F91=0,"-",'Segment 1'!$F91-$F$3)</f>
        <v>-</v>
      </c>
      <c r="H91" s="278">
        <v>4.9999999999999902</v>
      </c>
      <c r="I91" s="3">
        <v>238.79863201690603</v>
      </c>
      <c r="J91" s="279">
        <f>IF('Segment 1'!$I91=0,"-",'Segment 1'!$I91-$F$4)</f>
        <v>8.7986320169060264</v>
      </c>
    </row>
    <row r="92" spans="2:10" x14ac:dyDescent="0.25">
      <c r="B92" s="8"/>
      <c r="C92" s="3"/>
      <c r="D92" s="45" t="str">
        <f>IF('Segment 1'!$C92=0,"-",'Segment 1'!$C92-$F$2)</f>
        <v>-</v>
      </c>
      <c r="E92" s="3"/>
      <c r="F92" s="3"/>
      <c r="G92" s="45" t="str">
        <f>IF('Segment 1'!$F92=0,"-",'Segment 1'!$F92-$F$3)</f>
        <v>-</v>
      </c>
      <c r="H92" s="278"/>
      <c r="I92" s="3"/>
      <c r="J92" s="279" t="str">
        <f>IF('Segment 1'!$I92=0,"-",'Segment 1'!$I92-$F$4)</f>
        <v>-</v>
      </c>
    </row>
    <row r="93" spans="2:10" x14ac:dyDescent="0.25">
      <c r="B93" s="8"/>
      <c r="C93" s="3"/>
      <c r="D93" s="45" t="str">
        <f>IF('Segment 1'!$C93=0,"-",'Segment 1'!$C93-$F$2)</f>
        <v>-</v>
      </c>
      <c r="E93" s="3"/>
      <c r="F93" s="3"/>
      <c r="G93" s="45" t="str">
        <f>IF('Segment 1'!$F93=0,"-",'Segment 1'!$F93-$F$3)</f>
        <v>-</v>
      </c>
      <c r="H93" s="278"/>
      <c r="I93" s="3"/>
      <c r="J93" s="279" t="str">
        <f>IF('Segment 1'!$I93=0,"-",'Segment 1'!$I93-$F$4)</f>
        <v>-</v>
      </c>
    </row>
    <row r="94" spans="2:10" x14ac:dyDescent="0.25">
      <c r="B94" s="8"/>
      <c r="C94" s="3"/>
      <c r="D94" s="45" t="str">
        <f>IF('Segment 1'!$C94=0,"-",'Segment 1'!$C94-$F$2)</f>
        <v>-</v>
      </c>
      <c r="E94" s="3"/>
      <c r="F94" s="3"/>
      <c r="G94" s="45" t="str">
        <f>IF('Segment 1'!$F94=0,"-",'Segment 1'!$F94-$F$3)</f>
        <v>-</v>
      </c>
      <c r="H94" s="278"/>
      <c r="I94" s="3"/>
      <c r="J94" s="279" t="str">
        <f>IF('Segment 1'!$I94=0,"-",'Segment 1'!$I94-$F$4)</f>
        <v>-</v>
      </c>
    </row>
    <row r="95" spans="2:10" x14ac:dyDescent="0.25">
      <c r="B95" s="8"/>
      <c r="C95" s="3"/>
      <c r="D95" s="45" t="str">
        <f>IF('Segment 1'!$C95=0,"-",'Segment 1'!$C95-$F$2)</f>
        <v>-</v>
      </c>
      <c r="E95" s="3"/>
      <c r="F95" s="3"/>
      <c r="G95" s="45" t="str">
        <f>IF('Segment 1'!$F95=0,"-",'Segment 1'!$F95-$F$3)</f>
        <v>-</v>
      </c>
      <c r="H95" s="278"/>
      <c r="I95" s="3"/>
      <c r="J95" s="279" t="str">
        <f>IF('Segment 1'!$I95=0,"-",'Segment 1'!$I95-$F$4)</f>
        <v>-</v>
      </c>
    </row>
    <row r="96" spans="2:10" x14ac:dyDescent="0.25">
      <c r="B96" s="8"/>
      <c r="C96" s="3"/>
      <c r="D96" s="45" t="str">
        <f>IF('Segment 1'!$C96=0,"-",'Segment 1'!$C96-$F$2)</f>
        <v>-</v>
      </c>
      <c r="E96" s="3"/>
      <c r="F96" s="3"/>
      <c r="G96" s="45" t="str">
        <f>IF('Segment 1'!$F96=0,"-",'Segment 1'!$F96-$F$3)</f>
        <v>-</v>
      </c>
      <c r="H96" s="278"/>
      <c r="I96" s="3"/>
      <c r="J96" s="279" t="str">
        <f>IF('Segment 1'!$I96=0,"-",'Segment 1'!$I96-$F$4)</f>
        <v>-</v>
      </c>
    </row>
    <row r="97" spans="2:10" x14ac:dyDescent="0.25">
      <c r="B97" s="8"/>
      <c r="C97" s="3"/>
      <c r="D97" s="45" t="str">
        <f>IF('Segment 1'!$C97=0,"-",'Segment 1'!$C97-$F$2)</f>
        <v>-</v>
      </c>
      <c r="E97" s="3"/>
      <c r="F97" s="3"/>
      <c r="G97" s="45" t="str">
        <f>IF('Segment 1'!$F97=0,"-",'Segment 1'!$F97-$F$3)</f>
        <v>-</v>
      </c>
      <c r="H97" s="278"/>
      <c r="I97" s="3"/>
      <c r="J97" s="279" t="str">
        <f>IF('Segment 1'!$I97=0,"-",'Segment 1'!$I97-$F$4)</f>
        <v>-</v>
      </c>
    </row>
    <row r="98" spans="2:10" x14ac:dyDescent="0.25">
      <c r="B98" s="8"/>
      <c r="C98" s="3"/>
      <c r="D98" s="45" t="str">
        <f>IF('Segment 1'!$C98=0,"-",'Segment 1'!$C98-$F$2)</f>
        <v>-</v>
      </c>
      <c r="E98" s="3"/>
      <c r="F98" s="3"/>
      <c r="G98" s="45" t="str">
        <f>IF('Segment 1'!$F98=0,"-",'Segment 1'!$F98-$F$3)</f>
        <v>-</v>
      </c>
      <c r="H98" s="278"/>
      <c r="I98" s="3"/>
      <c r="J98" s="279" t="str">
        <f>IF('Segment 1'!$I98=0,"-",'Segment 1'!$I98-$F$4)</f>
        <v>-</v>
      </c>
    </row>
    <row r="99" spans="2:10" x14ac:dyDescent="0.25">
      <c r="B99" s="8"/>
      <c r="C99" s="3"/>
      <c r="D99" s="45" t="str">
        <f>IF('Segment 1'!$C99=0,"-",'Segment 1'!$C99-$F$2)</f>
        <v>-</v>
      </c>
      <c r="E99" s="3"/>
      <c r="F99" s="3"/>
      <c r="G99" s="45" t="str">
        <f>IF('Segment 1'!$F99=0,"-",'Segment 1'!$F99-$F$3)</f>
        <v>-</v>
      </c>
      <c r="H99" s="278"/>
      <c r="I99" s="3"/>
      <c r="J99" s="279" t="str">
        <f>IF('Segment 1'!$I99=0,"-",'Segment 1'!$I99-$F$4)</f>
        <v>-</v>
      </c>
    </row>
    <row r="100" spans="2:10" x14ac:dyDescent="0.25">
      <c r="B100" s="8"/>
      <c r="C100" s="3"/>
      <c r="D100" s="45" t="str">
        <f>IF('Segment 1'!$C100=0,"-",'Segment 1'!$C100-$F$2)</f>
        <v>-</v>
      </c>
      <c r="E100" s="3"/>
      <c r="F100" s="3"/>
      <c r="G100" s="45" t="str">
        <f>IF('Segment 1'!$F100=0,"-",'Segment 1'!$F100-$F$3)</f>
        <v>-</v>
      </c>
      <c r="H100" s="278"/>
      <c r="I100" s="3"/>
      <c r="J100" s="279" t="str">
        <f>IF('Segment 1'!$I100=0,"-",'Segment 1'!$I100-$F$4)</f>
        <v>-</v>
      </c>
    </row>
    <row r="101" spans="2:10" x14ac:dyDescent="0.25">
      <c r="B101" s="8"/>
      <c r="C101" s="3"/>
      <c r="D101" s="45" t="str">
        <f>IF('Segment 1'!$C101=0,"-",'Segment 1'!$C101-$F$2)</f>
        <v>-</v>
      </c>
      <c r="E101" s="3"/>
      <c r="F101" s="3"/>
      <c r="G101" s="45" t="str">
        <f>IF('Segment 1'!$F101=0,"-",'Segment 1'!$F101-$F$3)</f>
        <v>-</v>
      </c>
      <c r="H101" s="278"/>
      <c r="I101" s="3"/>
      <c r="J101" s="279" t="str">
        <f>IF('Segment 1'!$I101=0,"-",'Segment 1'!$I101-$F$4)</f>
        <v>-</v>
      </c>
    </row>
    <row r="102" spans="2:10" x14ac:dyDescent="0.25">
      <c r="B102" s="8"/>
      <c r="C102" s="3"/>
      <c r="D102" s="45" t="str">
        <f>IF('Segment 1'!$C102=0,"-",'Segment 1'!$C102-$F$2)</f>
        <v>-</v>
      </c>
      <c r="E102" s="3"/>
      <c r="F102" s="3"/>
      <c r="G102" s="45" t="str">
        <f>IF('Segment 1'!$F102=0,"-",'Segment 1'!$F102-$F$3)</f>
        <v>-</v>
      </c>
      <c r="H102" s="278"/>
      <c r="I102" s="3"/>
      <c r="J102" s="279" t="str">
        <f>IF('Segment 1'!$I102=0,"-",'Segment 1'!$I102-$F$4)</f>
        <v>-</v>
      </c>
    </row>
    <row r="103" spans="2:10" x14ac:dyDescent="0.25">
      <c r="B103" s="8"/>
      <c r="C103" s="3"/>
      <c r="D103" s="45" t="str">
        <f>IF('Segment 1'!$C103=0,"-",'Segment 1'!$C103-$F$2)</f>
        <v>-</v>
      </c>
      <c r="E103" s="3"/>
      <c r="F103" s="3"/>
      <c r="G103" s="45" t="str">
        <f>IF('Segment 1'!$F103=0,"-",'Segment 1'!$F103-$F$3)</f>
        <v>-</v>
      </c>
      <c r="H103" s="278"/>
      <c r="I103" s="3"/>
      <c r="J103" s="279" t="str">
        <f>IF('Segment 1'!$I103=0,"-",'Segment 1'!$I103-$F$4)</f>
        <v>-</v>
      </c>
    </row>
    <row r="104" spans="2:10" x14ac:dyDescent="0.25">
      <c r="B104" s="8"/>
      <c r="C104" s="3"/>
      <c r="D104" s="45" t="str">
        <f>IF('Segment 1'!$C104=0,"-",'Segment 1'!$C104-$F$2)</f>
        <v>-</v>
      </c>
      <c r="E104" s="3"/>
      <c r="F104" s="3"/>
      <c r="G104" s="45" t="str">
        <f>IF('Segment 1'!$F104=0,"-",'Segment 1'!$F104-$F$3)</f>
        <v>-</v>
      </c>
      <c r="H104" s="278"/>
      <c r="I104" s="3"/>
      <c r="J104" s="279" t="str">
        <f>IF('Segment 1'!$I104=0,"-",'Segment 1'!$I104-$F$4)</f>
        <v>-</v>
      </c>
    </row>
    <row r="105" spans="2:10" x14ac:dyDescent="0.25">
      <c r="B105" s="8"/>
      <c r="C105" s="3"/>
      <c r="D105" s="45" t="str">
        <f>IF('Segment 1'!$C105=0,"-",'Segment 1'!$C105-$F$2)</f>
        <v>-</v>
      </c>
      <c r="E105" s="3"/>
      <c r="F105" s="3"/>
      <c r="G105" s="45" t="str">
        <f>IF('Segment 1'!$F105=0,"-",'Segment 1'!$F105-$F$3)</f>
        <v>-</v>
      </c>
      <c r="H105" s="278"/>
      <c r="I105" s="3"/>
      <c r="J105" s="279" t="str">
        <f>IF('Segment 1'!$I105=0,"-",'Segment 1'!$I105-$F$4)</f>
        <v>-</v>
      </c>
    </row>
    <row r="106" spans="2:10" x14ac:dyDescent="0.25">
      <c r="B106" s="8"/>
      <c r="C106" s="3"/>
      <c r="D106" s="45" t="str">
        <f>IF('Segment 1'!$C106=0,"-",'Segment 1'!$C106-$F$2)</f>
        <v>-</v>
      </c>
      <c r="E106" s="3"/>
      <c r="F106" s="3"/>
      <c r="G106" s="45" t="str">
        <f>IF('Segment 1'!$F106=0,"-",'Segment 1'!$F106-$F$3)</f>
        <v>-</v>
      </c>
      <c r="H106" s="278"/>
      <c r="I106" s="3"/>
      <c r="J106" s="279" t="str">
        <f>IF('Segment 1'!$I106=0,"-",'Segment 1'!$I106-$F$4)</f>
        <v>-</v>
      </c>
    </row>
    <row r="107" spans="2:10" x14ac:dyDescent="0.25">
      <c r="B107" s="8"/>
      <c r="C107" s="3"/>
      <c r="D107" s="45" t="str">
        <f>IF('Segment 1'!$C107=0,"-",'Segment 1'!$C107-$F$2)</f>
        <v>-</v>
      </c>
      <c r="E107" s="3"/>
      <c r="F107" s="3"/>
      <c r="G107" s="45" t="str">
        <f>IF('Segment 1'!$F107=0,"-",'Segment 1'!$F107-$F$3)</f>
        <v>-</v>
      </c>
      <c r="H107" s="278"/>
      <c r="I107" s="3"/>
      <c r="J107" s="279" t="str">
        <f>IF('Segment 1'!$I107=0,"-",'Segment 1'!$I107-$F$4)</f>
        <v>-</v>
      </c>
    </row>
    <row r="108" spans="2:10" x14ac:dyDescent="0.25">
      <c r="B108" s="8"/>
      <c r="C108" s="3"/>
      <c r="D108" s="45" t="str">
        <f>IF('Segment 1'!$C108=0,"-",'Segment 1'!$C108-$F$2)</f>
        <v>-</v>
      </c>
      <c r="E108" s="3"/>
      <c r="F108" s="3"/>
      <c r="G108" s="45" t="str">
        <f>IF('Segment 1'!$F108=0,"-",'Segment 1'!$F108-$F$3)</f>
        <v>-</v>
      </c>
      <c r="H108" s="278"/>
      <c r="I108" s="3"/>
      <c r="J108" s="279" t="str">
        <f>IF('Segment 1'!$I108=0,"-",'Segment 1'!$I108-$F$4)</f>
        <v>-</v>
      </c>
    </row>
    <row r="109" spans="2:10" x14ac:dyDescent="0.25">
      <c r="B109" s="8"/>
      <c r="C109" s="3"/>
      <c r="D109" s="45" t="str">
        <f>IF('Segment 1'!$C109=0,"-",'Segment 1'!$C109-$F$2)</f>
        <v>-</v>
      </c>
      <c r="E109" s="3"/>
      <c r="F109" s="3"/>
      <c r="G109" s="45" t="str">
        <f>IF('Segment 1'!$F109=0,"-",'Segment 1'!$F109-$F$3)</f>
        <v>-</v>
      </c>
      <c r="H109" s="278"/>
      <c r="I109" s="3"/>
      <c r="J109" s="279" t="str">
        <f>IF('Segment 1'!$I109=0,"-",'Segment 1'!$I109-$F$4)</f>
        <v>-</v>
      </c>
    </row>
    <row r="110" spans="2:10" x14ac:dyDescent="0.25">
      <c r="B110" s="8"/>
      <c r="C110" s="3"/>
      <c r="D110" s="45" t="str">
        <f>IF('Segment 1'!$C110=0,"-",'Segment 1'!$C110-$F$2)</f>
        <v>-</v>
      </c>
      <c r="E110" s="3"/>
      <c r="F110" s="3"/>
      <c r="G110" s="45" t="str">
        <f>IF('Segment 1'!$F110=0,"-",'Segment 1'!$F110-$F$3)</f>
        <v>-</v>
      </c>
      <c r="H110" s="278"/>
      <c r="I110" s="3"/>
      <c r="J110" s="279" t="str">
        <f>IF('Segment 1'!$I110=0,"-",'Segment 1'!$I110-$F$4)</f>
        <v>-</v>
      </c>
    </row>
    <row r="111" spans="2:10" x14ac:dyDescent="0.25">
      <c r="B111" s="8"/>
      <c r="C111" s="3"/>
      <c r="D111" s="45" t="str">
        <f>IF('Segment 1'!$C111=0,"-",'Segment 1'!$C111-$F$2)</f>
        <v>-</v>
      </c>
      <c r="E111" s="3"/>
      <c r="F111" s="3"/>
      <c r="G111" s="45" t="str">
        <f>IF('Segment 1'!$F111=0,"-",'Segment 1'!$F111-$F$3)</f>
        <v>-</v>
      </c>
      <c r="H111" s="278"/>
      <c r="I111" s="3"/>
      <c r="J111" s="279" t="str">
        <f>IF('Segment 1'!$I111=0,"-",'Segment 1'!$I111-$F$4)</f>
        <v>-</v>
      </c>
    </row>
    <row r="112" spans="2:10" x14ac:dyDescent="0.25">
      <c r="B112" s="8"/>
      <c r="C112" s="3"/>
      <c r="D112" s="45" t="str">
        <f>IF('Segment 1'!$C112=0,"-",'Segment 1'!$C112-$F$2)</f>
        <v>-</v>
      </c>
      <c r="E112" s="3"/>
      <c r="F112" s="3"/>
      <c r="G112" s="45" t="str">
        <f>IF('Segment 1'!$F112=0,"-",'Segment 1'!$F112-$F$3)</f>
        <v>-</v>
      </c>
      <c r="H112" s="278"/>
      <c r="I112" s="3"/>
      <c r="J112" s="279" t="str">
        <f>IF('Segment 1'!$I112=0,"-",'Segment 1'!$I112-$F$4)</f>
        <v>-</v>
      </c>
    </row>
    <row r="113" spans="2:10" x14ac:dyDescent="0.25">
      <c r="B113" s="8"/>
      <c r="C113" s="3"/>
      <c r="D113" s="45" t="str">
        <f>IF('Segment 1'!$C113=0,"-",'Segment 1'!$C113-$F$2)</f>
        <v>-</v>
      </c>
      <c r="E113" s="3"/>
      <c r="F113" s="3"/>
      <c r="G113" s="45" t="str">
        <f>IF('Segment 1'!$F113=0,"-",'Segment 1'!$F113-$F$3)</f>
        <v>-</v>
      </c>
      <c r="H113" s="278"/>
      <c r="I113" s="3"/>
      <c r="J113" s="279" t="str">
        <f>IF('Segment 1'!$I113=0,"-",'Segment 1'!$I113-$F$4)</f>
        <v>-</v>
      </c>
    </row>
    <row r="114" spans="2:10" x14ac:dyDescent="0.25">
      <c r="B114" s="8"/>
      <c r="C114" s="3"/>
      <c r="D114" s="45" t="str">
        <f>IF('Segment 1'!$C114=0,"-",'Segment 1'!$C114-$F$2)</f>
        <v>-</v>
      </c>
      <c r="E114" s="3"/>
      <c r="F114" s="3"/>
      <c r="G114" s="45" t="str">
        <f>IF('Segment 1'!$F114=0,"-",'Segment 1'!$F114-$F$3)</f>
        <v>-</v>
      </c>
      <c r="H114" s="278"/>
      <c r="I114" s="3"/>
      <c r="J114" s="279" t="str">
        <f>IF('Segment 1'!$I114=0,"-",'Segment 1'!$I114-$F$4)</f>
        <v>-</v>
      </c>
    </row>
    <row r="115" spans="2:10" x14ac:dyDescent="0.25">
      <c r="B115" s="8"/>
      <c r="C115" s="3"/>
      <c r="D115" s="45" t="str">
        <f>IF('Segment 1'!$C115=0,"-",'Segment 1'!$C115-$F$2)</f>
        <v>-</v>
      </c>
      <c r="E115" s="3"/>
      <c r="F115" s="3"/>
      <c r="G115" s="45" t="str">
        <f>IF('Segment 1'!$F115=0,"-",'Segment 1'!$F115-$F$3)</f>
        <v>-</v>
      </c>
      <c r="H115" s="278"/>
      <c r="I115" s="3"/>
      <c r="J115" s="279" t="str">
        <f>IF('Segment 1'!$I115=0,"-",'Segment 1'!$I115-$F$4)</f>
        <v>-</v>
      </c>
    </row>
    <row r="116" spans="2:10" x14ac:dyDescent="0.25">
      <c r="B116" s="8"/>
      <c r="C116" s="3"/>
      <c r="D116" s="45" t="str">
        <f>IF('Segment 1'!$C116=0,"-",'Segment 1'!$C116-$F$2)</f>
        <v>-</v>
      </c>
      <c r="E116" s="3"/>
      <c r="F116" s="3"/>
      <c r="G116" s="45" t="str">
        <f>IF('Segment 1'!$F116=0,"-",'Segment 1'!$F116-$F$3)</f>
        <v>-</v>
      </c>
      <c r="H116" s="278"/>
      <c r="I116" s="3"/>
      <c r="J116" s="279" t="str">
        <f>IF('Segment 1'!$I116=0,"-",'Segment 1'!$I116-$F$4)</f>
        <v>-</v>
      </c>
    </row>
    <row r="117" spans="2:10" x14ac:dyDescent="0.25">
      <c r="B117" s="8"/>
      <c r="C117" s="3"/>
      <c r="D117" s="45" t="str">
        <f>IF('Segment 1'!$C117=0,"-",'Segment 1'!$C117-$F$2)</f>
        <v>-</v>
      </c>
      <c r="E117" s="3"/>
      <c r="F117" s="3"/>
      <c r="G117" s="45" t="str">
        <f>IF('Segment 1'!$F117=0,"-",'Segment 1'!$F117-$F$3)</f>
        <v>-</v>
      </c>
      <c r="H117" s="278"/>
      <c r="I117" s="3"/>
      <c r="J117" s="279" t="str">
        <f>IF('Segment 1'!$I117=0,"-",'Segment 1'!$I117-$F$4)</f>
        <v>-</v>
      </c>
    </row>
    <row r="118" spans="2:10" x14ac:dyDescent="0.25">
      <c r="B118" s="8"/>
      <c r="C118" s="3"/>
      <c r="D118" s="45" t="str">
        <f>IF('Segment 1'!$C118=0,"-",'Segment 1'!$C118-$F$2)</f>
        <v>-</v>
      </c>
      <c r="E118" s="3"/>
      <c r="F118" s="3"/>
      <c r="G118" s="45" t="str">
        <f>IF('Segment 1'!$F118=0,"-",'Segment 1'!$F118-$F$3)</f>
        <v>-</v>
      </c>
      <c r="H118" s="278"/>
      <c r="I118" s="3"/>
      <c r="J118" s="279" t="str">
        <f>IF('Segment 1'!$I118=0,"-",'Segment 1'!$I118-$F$4)</f>
        <v>-</v>
      </c>
    </row>
    <row r="119" spans="2:10" x14ac:dyDescent="0.25">
      <c r="B119" s="8"/>
      <c r="C119" s="3"/>
      <c r="D119" s="45" t="str">
        <f>IF('Segment 1'!$C119=0,"-",'Segment 1'!$C119-$F$2)</f>
        <v>-</v>
      </c>
      <c r="E119" s="3"/>
      <c r="F119" s="3"/>
      <c r="G119" s="45" t="str">
        <f>IF('Segment 1'!$F119=0,"-",'Segment 1'!$F119-$F$3)</f>
        <v>-</v>
      </c>
      <c r="H119" s="278"/>
      <c r="I119" s="3"/>
      <c r="J119" s="279" t="str">
        <f>IF('Segment 1'!$I119=0,"-",'Segment 1'!$I119-$F$4)</f>
        <v>-</v>
      </c>
    </row>
    <row r="120" spans="2:10" x14ac:dyDescent="0.25">
      <c r="B120" s="8"/>
      <c r="C120" s="3"/>
      <c r="D120" s="45" t="str">
        <f>IF('Segment 1'!$C120=0,"-",'Segment 1'!$C120-$F$2)</f>
        <v>-</v>
      </c>
      <c r="E120" s="3"/>
      <c r="F120" s="3"/>
      <c r="G120" s="45" t="str">
        <f>IF('Segment 1'!$F120=0,"-",'Segment 1'!$F120-$F$3)</f>
        <v>-</v>
      </c>
      <c r="H120" s="278"/>
      <c r="I120" s="3"/>
      <c r="J120" s="279" t="str">
        <f>IF('Segment 1'!$I120=0,"-",'Segment 1'!$I120-$F$4)</f>
        <v>-</v>
      </c>
    </row>
    <row r="121" spans="2:10" x14ac:dyDescent="0.25">
      <c r="B121" s="8"/>
      <c r="C121" s="3"/>
      <c r="D121" s="45" t="str">
        <f>IF('Segment 1'!$C121=0,"-",'Segment 1'!$C121-$F$2)</f>
        <v>-</v>
      </c>
      <c r="E121" s="3"/>
      <c r="F121" s="3"/>
      <c r="G121" s="45" t="str">
        <f>IF('Segment 1'!$F121=0,"-",'Segment 1'!$F121-$F$3)</f>
        <v>-</v>
      </c>
      <c r="H121" s="278"/>
      <c r="I121" s="3"/>
      <c r="J121" s="279" t="str">
        <f>IF('Segment 1'!$I121=0,"-",'Segment 1'!$I121-$F$4)</f>
        <v>-</v>
      </c>
    </row>
    <row r="122" spans="2:10" x14ac:dyDescent="0.25">
      <c r="B122" s="8"/>
      <c r="C122" s="3"/>
      <c r="D122" s="45" t="str">
        <f>IF('Segment 1'!$C122=0,"-",'Segment 1'!$C122-$F$2)</f>
        <v>-</v>
      </c>
      <c r="E122" s="3"/>
      <c r="F122" s="3"/>
      <c r="G122" s="45" t="str">
        <f>IF('Segment 1'!$F122=0,"-",'Segment 1'!$F122-$F$3)</f>
        <v>-</v>
      </c>
      <c r="H122" s="278"/>
      <c r="I122" s="3"/>
      <c r="J122" s="279" t="str">
        <f>IF('Segment 1'!$I122=0,"-",'Segment 1'!$I122-$F$4)</f>
        <v>-</v>
      </c>
    </row>
    <row r="123" spans="2:10" x14ac:dyDescent="0.25">
      <c r="B123" s="8"/>
      <c r="C123" s="3"/>
      <c r="D123" s="45" t="str">
        <f>IF('Segment 1'!$C123=0,"-",'Segment 1'!$C123-$F$2)</f>
        <v>-</v>
      </c>
      <c r="E123" s="3"/>
      <c r="F123" s="3"/>
      <c r="G123" s="45" t="str">
        <f>IF('Segment 1'!$F123=0,"-",'Segment 1'!$F123-$F$3)</f>
        <v>-</v>
      </c>
      <c r="H123" s="278"/>
      <c r="I123" s="3"/>
      <c r="J123" s="279" t="str">
        <f>IF('Segment 1'!$I123=0,"-",'Segment 1'!$I123-$F$4)</f>
        <v>-</v>
      </c>
    </row>
    <row r="124" spans="2:10" x14ac:dyDescent="0.25">
      <c r="B124" s="8"/>
      <c r="C124" s="3"/>
      <c r="D124" s="45" t="str">
        <f>IF('Segment 1'!$C124=0,"-",'Segment 1'!$C124-$F$2)</f>
        <v>-</v>
      </c>
      <c r="E124" s="3"/>
      <c r="F124" s="3"/>
      <c r="G124" s="45" t="str">
        <f>IF('Segment 1'!$F124=0,"-",'Segment 1'!$F124-$F$3)</f>
        <v>-</v>
      </c>
      <c r="H124" s="278"/>
      <c r="I124" s="3"/>
      <c r="J124" s="279" t="str">
        <f>IF('Segment 1'!$I124=0,"-",'Segment 1'!$I124-$F$4)</f>
        <v>-</v>
      </c>
    </row>
    <row r="125" spans="2:10" x14ac:dyDescent="0.25">
      <c r="B125" s="8"/>
      <c r="C125" s="3"/>
      <c r="D125" s="45" t="str">
        <f>IF('Segment 1'!$C125=0,"-",'Segment 1'!$C125-$F$2)</f>
        <v>-</v>
      </c>
      <c r="E125" s="3"/>
      <c r="F125" s="3"/>
      <c r="G125" s="45" t="str">
        <f>IF('Segment 1'!$F125=0,"-",'Segment 1'!$F125-$F$3)</f>
        <v>-</v>
      </c>
      <c r="H125" s="278"/>
      <c r="I125" s="3"/>
      <c r="J125" s="279" t="str">
        <f>IF('Segment 1'!$I125=0,"-",'Segment 1'!$I125-$F$4)</f>
        <v>-</v>
      </c>
    </row>
    <row r="126" spans="2:10" x14ac:dyDescent="0.25">
      <c r="B126" s="8"/>
      <c r="C126" s="3"/>
      <c r="D126" s="45" t="str">
        <f>IF('Segment 1'!$C126=0,"-",'Segment 1'!$C126-$F$2)</f>
        <v>-</v>
      </c>
      <c r="E126" s="3"/>
      <c r="F126" s="3"/>
      <c r="G126" s="45" t="str">
        <f>IF('Segment 1'!$F126=0,"-",'Segment 1'!$F126-$F$3)</f>
        <v>-</v>
      </c>
      <c r="H126" s="278"/>
      <c r="I126" s="3"/>
      <c r="J126" s="279" t="str">
        <f>IF('Segment 1'!$I126=0,"-",'Segment 1'!$I126-$F$4)</f>
        <v>-</v>
      </c>
    </row>
    <row r="127" spans="2:10" x14ac:dyDescent="0.25">
      <c r="B127" s="8"/>
      <c r="C127" s="3"/>
      <c r="D127" s="45" t="str">
        <f>IF('Segment 1'!$C127=0,"-",'Segment 1'!$C127-$F$2)</f>
        <v>-</v>
      </c>
      <c r="E127" s="3"/>
      <c r="F127" s="3"/>
      <c r="G127" s="45" t="str">
        <f>IF('Segment 1'!$F127=0,"-",'Segment 1'!$F127-$F$3)</f>
        <v>-</v>
      </c>
      <c r="H127" s="278"/>
      <c r="I127" s="3"/>
      <c r="J127" s="279" t="str">
        <f>IF('Segment 1'!$I127=0,"-",'Segment 1'!$I127-$F$4)</f>
        <v>-</v>
      </c>
    </row>
    <row r="128" spans="2:10" x14ac:dyDescent="0.25">
      <c r="B128" s="8"/>
      <c r="C128" s="3"/>
      <c r="D128" s="45" t="str">
        <f>IF('Segment 1'!$C128=0,"-",'Segment 1'!$C128-$F$2)</f>
        <v>-</v>
      </c>
      <c r="E128" s="3"/>
      <c r="F128" s="3"/>
      <c r="G128" s="45" t="str">
        <f>IF('Segment 1'!$F128=0,"-",'Segment 1'!$F128-$F$3)</f>
        <v>-</v>
      </c>
      <c r="H128" s="278"/>
      <c r="I128" s="3"/>
      <c r="J128" s="279" t="str">
        <f>IF('Segment 1'!$I128=0,"-",'Segment 1'!$I128-$F$4)</f>
        <v>-</v>
      </c>
    </row>
    <row r="129" spans="2:10" x14ac:dyDescent="0.25">
      <c r="B129" s="8"/>
      <c r="C129" s="3"/>
      <c r="D129" s="45" t="str">
        <f>IF('Segment 1'!$C129=0,"-",'Segment 1'!$C129-$F$2)</f>
        <v>-</v>
      </c>
      <c r="E129" s="3"/>
      <c r="F129" s="3"/>
      <c r="G129" s="45" t="str">
        <f>IF('Segment 1'!$F129=0,"-",'Segment 1'!$F129-$F$3)</f>
        <v>-</v>
      </c>
      <c r="H129" s="278"/>
      <c r="I129" s="3"/>
      <c r="J129" s="279" t="str">
        <f>IF('Segment 1'!$I129=0,"-",'Segment 1'!$I129-$F$4)</f>
        <v>-</v>
      </c>
    </row>
    <row r="130" spans="2:10" x14ac:dyDescent="0.25">
      <c r="B130" s="8"/>
      <c r="C130" s="3"/>
      <c r="D130" s="45" t="str">
        <f>IF('Segment 1'!$C130=0,"-",'Segment 1'!$C130-$F$2)</f>
        <v>-</v>
      </c>
      <c r="E130" s="3"/>
      <c r="F130" s="3"/>
      <c r="G130" s="45" t="str">
        <f>IF('Segment 1'!$F130=0,"-",'Segment 1'!$F130-$F$3)</f>
        <v>-</v>
      </c>
      <c r="H130" s="278"/>
      <c r="I130" s="3"/>
      <c r="J130" s="279" t="str">
        <f>IF('Segment 1'!$I130=0,"-",'Segment 1'!$I130-$F$4)</f>
        <v>-</v>
      </c>
    </row>
    <row r="131" spans="2:10" x14ac:dyDescent="0.25">
      <c r="B131" s="8"/>
      <c r="C131" s="3"/>
      <c r="D131" s="45" t="str">
        <f>IF('Segment 1'!$C131=0,"-",'Segment 1'!$C131-$F$2)</f>
        <v>-</v>
      </c>
      <c r="E131" s="3"/>
      <c r="F131" s="3"/>
      <c r="G131" s="45" t="str">
        <f>IF('Segment 1'!$F131=0,"-",'Segment 1'!$F131-$F$3)</f>
        <v>-</v>
      </c>
      <c r="H131" s="278"/>
      <c r="I131" s="3"/>
      <c r="J131" s="279" t="str">
        <f>IF('Segment 1'!$I131=0,"-",'Segment 1'!$I131-$F$4)</f>
        <v>-</v>
      </c>
    </row>
    <row r="132" spans="2:10" x14ac:dyDescent="0.25">
      <c r="B132" s="8"/>
      <c r="C132" s="3"/>
      <c r="D132" s="45" t="str">
        <f>IF('Segment 1'!$C132=0,"-",'Segment 1'!$C132-$F$2)</f>
        <v>-</v>
      </c>
      <c r="E132" s="3"/>
      <c r="F132" s="3"/>
      <c r="G132" s="45" t="str">
        <f>IF('Segment 1'!$F132=0,"-",'Segment 1'!$F132-$F$3)</f>
        <v>-</v>
      </c>
      <c r="H132" s="278"/>
      <c r="I132" s="3"/>
      <c r="J132" s="279" t="str">
        <f>IF('Segment 1'!$I132=0,"-",'Segment 1'!$I132-$F$4)</f>
        <v>-</v>
      </c>
    </row>
    <row r="133" spans="2:10" x14ac:dyDescent="0.25">
      <c r="B133" s="8"/>
      <c r="C133" s="3"/>
      <c r="D133" s="45" t="str">
        <f>IF('Segment 1'!$C133=0,"-",'Segment 1'!$C133-$F$2)</f>
        <v>-</v>
      </c>
      <c r="E133" s="3"/>
      <c r="F133" s="3"/>
      <c r="G133" s="45" t="str">
        <f>IF('Segment 1'!$F133=0,"-",'Segment 1'!$F133-$F$3)</f>
        <v>-</v>
      </c>
      <c r="H133" s="278"/>
      <c r="I133" s="3"/>
      <c r="J133" s="279" t="str">
        <f>IF('Segment 1'!$I133=0,"-",'Segment 1'!$I133-$F$4)</f>
        <v>-</v>
      </c>
    </row>
    <row r="134" spans="2:10" x14ac:dyDescent="0.25">
      <c r="B134" s="8"/>
      <c r="C134" s="3"/>
      <c r="D134" s="45" t="str">
        <f>IF('Segment 1'!$C134=0,"-",'Segment 1'!$C134-$F$2)</f>
        <v>-</v>
      </c>
      <c r="E134" s="3"/>
      <c r="F134" s="3"/>
      <c r="G134" s="45" t="str">
        <f>IF('Segment 1'!$F134=0,"-",'Segment 1'!$F134-$F$3)</f>
        <v>-</v>
      </c>
      <c r="H134" s="278"/>
      <c r="I134" s="3"/>
      <c r="J134" s="279" t="str">
        <f>IF('Segment 1'!$I134=0,"-",'Segment 1'!$I134-$F$4)</f>
        <v>-</v>
      </c>
    </row>
    <row r="135" spans="2:10" x14ac:dyDescent="0.25">
      <c r="B135" s="8"/>
      <c r="C135" s="3"/>
      <c r="D135" s="45" t="str">
        <f>IF('Segment 1'!$C135=0,"-",'Segment 1'!$C135-$F$2)</f>
        <v>-</v>
      </c>
      <c r="E135" s="3"/>
      <c r="F135" s="3"/>
      <c r="G135" s="45" t="str">
        <f>IF('Segment 1'!$F135=0,"-",'Segment 1'!$F135-$F$3)</f>
        <v>-</v>
      </c>
      <c r="H135" s="278"/>
      <c r="I135" s="3"/>
      <c r="J135" s="279" t="str">
        <f>IF('Segment 1'!$I135=0,"-",'Segment 1'!$I135-$F$4)</f>
        <v>-</v>
      </c>
    </row>
    <row r="136" spans="2:10" x14ac:dyDescent="0.25">
      <c r="B136" s="8"/>
      <c r="C136" s="3"/>
      <c r="D136" s="45" t="str">
        <f>IF('Segment 1'!$C136=0,"-",'Segment 1'!$C136-$F$2)</f>
        <v>-</v>
      </c>
      <c r="E136" s="3"/>
      <c r="F136" s="3"/>
      <c r="G136" s="45" t="str">
        <f>IF('Segment 1'!$F136=0,"-",'Segment 1'!$F136-$F$3)</f>
        <v>-</v>
      </c>
      <c r="H136" s="278"/>
      <c r="I136" s="3"/>
      <c r="J136" s="279" t="str">
        <f>IF('Segment 1'!$I136=0,"-",'Segment 1'!$I136-$F$4)</f>
        <v>-</v>
      </c>
    </row>
    <row r="137" spans="2:10" x14ac:dyDescent="0.25">
      <c r="B137" s="8"/>
      <c r="C137" s="3"/>
      <c r="D137" s="45" t="str">
        <f>IF('Segment 1'!$C137=0,"-",'Segment 1'!$C137-$F$2)</f>
        <v>-</v>
      </c>
      <c r="E137" s="3"/>
      <c r="F137" s="3"/>
      <c r="G137" s="45" t="str">
        <f>IF('Segment 1'!$F137=0,"-",'Segment 1'!$F137-$F$3)</f>
        <v>-</v>
      </c>
      <c r="H137" s="278"/>
      <c r="I137" s="3"/>
      <c r="J137" s="279" t="str">
        <f>IF('Segment 1'!$I137=0,"-",'Segment 1'!$I137-$F$4)</f>
        <v>-</v>
      </c>
    </row>
    <row r="138" spans="2:10" x14ac:dyDescent="0.25">
      <c r="B138" s="8"/>
      <c r="C138" s="3"/>
      <c r="D138" s="45" t="str">
        <f>IF('Segment 1'!$C138=0,"-",'Segment 1'!$C138-$F$2)</f>
        <v>-</v>
      </c>
      <c r="E138" s="3"/>
      <c r="F138" s="3"/>
      <c r="G138" s="45" t="str">
        <f>IF('Segment 1'!$F138=0,"-",'Segment 1'!$F138-$F$3)</f>
        <v>-</v>
      </c>
      <c r="H138" s="278"/>
      <c r="I138" s="3"/>
      <c r="J138" s="279" t="str">
        <f>IF('Segment 1'!$I138=0,"-",'Segment 1'!$I138-$F$4)</f>
        <v>-</v>
      </c>
    </row>
    <row r="139" spans="2:10" x14ac:dyDescent="0.25">
      <c r="B139" s="8"/>
      <c r="C139" s="3"/>
      <c r="D139" s="45" t="str">
        <f>IF('Segment 1'!$C139=0,"-",'Segment 1'!$C139-$F$2)</f>
        <v>-</v>
      </c>
      <c r="E139" s="3"/>
      <c r="F139" s="3"/>
      <c r="G139" s="45" t="str">
        <f>IF('Segment 1'!$F139=0,"-",'Segment 1'!$F139-$F$3)</f>
        <v>-</v>
      </c>
      <c r="H139" s="278"/>
      <c r="I139" s="3"/>
      <c r="J139" s="279" t="str">
        <f>IF('Segment 1'!$I139=0,"-",'Segment 1'!$I139-$F$4)</f>
        <v>-</v>
      </c>
    </row>
    <row r="140" spans="2:10" x14ac:dyDescent="0.25">
      <c r="B140" s="8"/>
      <c r="C140" s="3"/>
      <c r="D140" s="45" t="str">
        <f>IF('Segment 1'!$C140=0,"-",'Segment 1'!$C140-$F$2)</f>
        <v>-</v>
      </c>
      <c r="E140" s="3"/>
      <c r="F140" s="3"/>
      <c r="G140" s="45" t="str">
        <f>IF('Segment 1'!$F140=0,"-",'Segment 1'!$F140-$F$3)</f>
        <v>-</v>
      </c>
      <c r="H140" s="278"/>
      <c r="I140" s="3"/>
      <c r="J140" s="279" t="str">
        <f>IF('Segment 1'!$I140=0,"-",'Segment 1'!$I140-$F$4)</f>
        <v>-</v>
      </c>
    </row>
    <row r="141" spans="2:10" x14ac:dyDescent="0.25">
      <c r="B141" s="8"/>
      <c r="C141" s="3"/>
      <c r="D141" s="45" t="str">
        <f>IF('Segment 1'!$C141=0,"-",'Segment 1'!$C141-$F$2)</f>
        <v>-</v>
      </c>
      <c r="E141" s="3"/>
      <c r="F141" s="3"/>
      <c r="G141" s="45" t="str">
        <f>IF('Segment 1'!$F141=0,"-",'Segment 1'!$F141-$F$3)</f>
        <v>-</v>
      </c>
      <c r="H141" s="278"/>
      <c r="I141" s="3"/>
      <c r="J141" s="279" t="str">
        <f>IF('Segment 1'!$I141=0,"-",'Segment 1'!$I141-$F$4)</f>
        <v>-</v>
      </c>
    </row>
    <row r="142" spans="2:10" x14ac:dyDescent="0.25">
      <c r="B142" s="8"/>
      <c r="C142" s="3"/>
      <c r="D142" s="45" t="str">
        <f>IF('Segment 1'!$C142=0,"-",'Segment 1'!$C142-$F$2)</f>
        <v>-</v>
      </c>
      <c r="E142" s="3"/>
      <c r="F142" s="3"/>
      <c r="G142" s="45" t="str">
        <f>IF('Segment 1'!$F142=0,"-",'Segment 1'!$F142-$F$3)</f>
        <v>-</v>
      </c>
      <c r="H142" s="278"/>
      <c r="I142" s="3"/>
      <c r="J142" s="279" t="str">
        <f>IF('Segment 1'!$I142=0,"-",'Segment 1'!$I142-$F$4)</f>
        <v>-</v>
      </c>
    </row>
    <row r="143" spans="2:10" x14ac:dyDescent="0.25">
      <c r="B143" s="8"/>
      <c r="C143" s="3"/>
      <c r="D143" s="45" t="str">
        <f>IF('Segment 1'!$C143=0,"-",'Segment 1'!$C143-$F$2)</f>
        <v>-</v>
      </c>
      <c r="E143" s="3"/>
      <c r="F143" s="3"/>
      <c r="G143" s="45" t="str">
        <f>IF('Segment 1'!$F143=0,"-",'Segment 1'!$F143-$F$3)</f>
        <v>-</v>
      </c>
      <c r="H143" s="278"/>
      <c r="I143" s="3"/>
      <c r="J143" s="279" t="str">
        <f>IF('Segment 1'!$I143=0,"-",'Segment 1'!$I143-$F$4)</f>
        <v>-</v>
      </c>
    </row>
    <row r="144" spans="2:10" x14ac:dyDescent="0.25">
      <c r="B144" s="8"/>
      <c r="C144" s="3"/>
      <c r="D144" s="45" t="str">
        <f>IF('Segment 1'!$C144=0,"-",'Segment 1'!$C144-$F$2)</f>
        <v>-</v>
      </c>
      <c r="E144" s="3"/>
      <c r="F144" s="3"/>
      <c r="G144" s="45" t="str">
        <f>IF('Segment 1'!$F144=0,"-",'Segment 1'!$F144-$F$3)</f>
        <v>-</v>
      </c>
      <c r="H144" s="278"/>
      <c r="I144" s="3"/>
      <c r="J144" s="279" t="str">
        <f>IF('Segment 1'!$I144=0,"-",'Segment 1'!$I144-$F$4)</f>
        <v>-</v>
      </c>
    </row>
    <row r="145" spans="2:10" x14ac:dyDescent="0.25">
      <c r="B145" s="8"/>
      <c r="C145" s="3"/>
      <c r="D145" s="45" t="str">
        <f>IF('Segment 1'!$C145=0,"-",'Segment 1'!$C145-$F$2)</f>
        <v>-</v>
      </c>
      <c r="E145" s="3"/>
      <c r="F145" s="3"/>
      <c r="G145" s="45" t="str">
        <f>IF('Segment 1'!$F145=0,"-",'Segment 1'!$F145-$F$3)</f>
        <v>-</v>
      </c>
      <c r="H145" s="278"/>
      <c r="I145" s="3"/>
      <c r="J145" s="279" t="str">
        <f>IF('Segment 1'!$I145=0,"-",'Segment 1'!$I145-$F$4)</f>
        <v>-</v>
      </c>
    </row>
    <row r="146" spans="2:10" x14ac:dyDescent="0.25">
      <c r="B146" s="8"/>
      <c r="C146" s="3"/>
      <c r="D146" s="45" t="str">
        <f>IF('Segment 1'!$C146=0,"-",'Segment 1'!$C146-$F$2)</f>
        <v>-</v>
      </c>
      <c r="E146" s="3"/>
      <c r="F146" s="3"/>
      <c r="G146" s="45" t="str">
        <f>IF('Segment 1'!$F146=0,"-",'Segment 1'!$F146-$F$3)</f>
        <v>-</v>
      </c>
      <c r="H146" s="278"/>
      <c r="I146" s="3"/>
      <c r="J146" s="279" t="str">
        <f>IF('Segment 1'!$I146=0,"-",'Segment 1'!$I146-$F$4)</f>
        <v>-</v>
      </c>
    </row>
    <row r="147" spans="2:10" x14ac:dyDescent="0.25">
      <c r="B147" s="8"/>
      <c r="C147" s="3"/>
      <c r="D147" s="45" t="str">
        <f>IF('Segment 1'!$C147=0,"-",'Segment 1'!$C147-$F$2)</f>
        <v>-</v>
      </c>
      <c r="E147" s="3"/>
      <c r="F147" s="3"/>
      <c r="G147" s="45" t="str">
        <f>IF('Segment 1'!$F147=0,"-",'Segment 1'!$F147-$F$3)</f>
        <v>-</v>
      </c>
      <c r="H147" s="278"/>
      <c r="I147" s="3"/>
      <c r="J147" s="279" t="str">
        <f>IF('Segment 1'!$I147=0,"-",'Segment 1'!$I147-$F$4)</f>
        <v>-</v>
      </c>
    </row>
    <row r="148" spans="2:10" x14ac:dyDescent="0.25">
      <c r="B148" s="8"/>
      <c r="C148" s="3"/>
      <c r="D148" s="45" t="str">
        <f>IF('Segment 1'!$C148=0,"-",'Segment 1'!$C148-$F$2)</f>
        <v>-</v>
      </c>
      <c r="E148" s="3"/>
      <c r="F148" s="3"/>
      <c r="G148" s="45" t="str">
        <f>IF('Segment 1'!$F148=0,"-",'Segment 1'!$F148-$F$3)</f>
        <v>-</v>
      </c>
      <c r="H148" s="278"/>
      <c r="I148" s="3"/>
      <c r="J148" s="279" t="str">
        <f>IF('Segment 1'!$I148=0,"-",'Segment 1'!$I148-$F$4)</f>
        <v>-</v>
      </c>
    </row>
    <row r="149" spans="2:10" x14ac:dyDescent="0.25">
      <c r="B149" s="8"/>
      <c r="C149" s="3"/>
      <c r="D149" s="45" t="str">
        <f>IF('Segment 1'!$C149=0,"-",'Segment 1'!$C149-$F$2)</f>
        <v>-</v>
      </c>
      <c r="E149" s="3"/>
      <c r="F149" s="3"/>
      <c r="G149" s="45" t="str">
        <f>IF('Segment 1'!$F149=0,"-",'Segment 1'!$F149-$F$3)</f>
        <v>-</v>
      </c>
      <c r="H149" s="278"/>
      <c r="I149" s="3"/>
      <c r="J149" s="279" t="str">
        <f>IF('Segment 1'!$I149=0,"-",'Segment 1'!$I149-$F$4)</f>
        <v>-</v>
      </c>
    </row>
    <row r="150" spans="2:10" x14ac:dyDescent="0.25">
      <c r="B150" s="6"/>
      <c r="C150" s="5"/>
      <c r="D150" s="182" t="str">
        <f>IF('Segment 1'!$C150=0,"-",'Segment 1'!$C150-$F$2)</f>
        <v>-</v>
      </c>
      <c r="E150" s="5"/>
      <c r="F150" s="5"/>
      <c r="G150" s="182" t="str">
        <f>IF('Segment 1'!$F150=0,"-",'Segment 1'!$F150-$F$3)</f>
        <v>-</v>
      </c>
      <c r="H150" s="280"/>
      <c r="I150" s="5"/>
      <c r="J150" s="281" t="str">
        <f>IF('Segment 1'!$I150=0,"-",'Segment 1'!$I150-$F$4)</f>
        <v>-</v>
      </c>
    </row>
    <row r="151" spans="2:10" x14ac:dyDescent="0.25">
      <c r="B151" s="6"/>
      <c r="C151" s="5"/>
      <c r="D151" s="182" t="str">
        <f>IF('Segment 1'!$C151=0,"-",'Segment 1'!$C151-$F$2)</f>
        <v>-</v>
      </c>
      <c r="E151" s="5"/>
      <c r="F151" s="5"/>
      <c r="G151" s="182" t="str">
        <f>IF('Segment 1'!$F151=0,"-",'Segment 1'!$F151-$F$3)</f>
        <v>-</v>
      </c>
      <c r="H151" s="280"/>
      <c r="I151" s="5"/>
      <c r="J151" s="281" t="str">
        <f>IF('Segment 1'!$I151=0,"-",'Segment 1'!$I151-$F$4)</f>
        <v>-</v>
      </c>
    </row>
  </sheetData>
  <dataConsolidate/>
  <mergeCells count="12">
    <mergeCell ref="B8:D8"/>
    <mergeCell ref="L43:O43"/>
    <mergeCell ref="L4:Y4"/>
    <mergeCell ref="L5:M5"/>
    <mergeCell ref="L31:S31"/>
    <mergeCell ref="L37:O37"/>
    <mergeCell ref="S24:X24"/>
    <mergeCell ref="L18:Q18"/>
    <mergeCell ref="S18:X18"/>
    <mergeCell ref="L24:Q24"/>
    <mergeCell ref="E8:G8"/>
    <mergeCell ref="H8:J8"/>
  </mergeCells>
  <dataValidations count="4">
    <dataValidation type="list" allowBlank="1" showInputMessage="1" showErrorMessage="1" sqref="U21:U22" xr:uid="{00000000-0002-0000-0200-000000000000}">
      <formula1>INDIRECT($T$20)</formula1>
    </dataValidation>
    <dataValidation type="list" allowBlank="1" showInputMessage="1" showErrorMessage="1" sqref="T21:T22" xr:uid="{00000000-0002-0000-0200-000001000000}">
      <formula1>"Fitting"</formula1>
    </dataValidation>
    <dataValidation type="list" allowBlank="1" showInputMessage="1" showErrorMessage="1" sqref="T20" xr:uid="{00000000-0002-0000-0200-000002000000}">
      <formula1>Fitting</formula1>
    </dataValidation>
    <dataValidation type="list" allowBlank="1" showInputMessage="1" showErrorMessage="1" sqref="K10:K24 L14:L17" xr:uid="{00000000-0002-0000-0200-000003000000}">
      <formula1>Material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alculate_Friction_Factor">
          <controlPr defaultSize="0" autoLine="0" r:id="rId5">
            <anchor moveWithCells="1">
              <from>
                <xdr:col>22</xdr:col>
                <xdr:colOff>361950</xdr:colOff>
                <xdr:row>9</xdr:row>
                <xdr:rowOff>180975</xdr:rowOff>
              </from>
              <to>
                <xdr:col>23</xdr:col>
                <xdr:colOff>285750</xdr:colOff>
                <xdr:row>11</xdr:row>
                <xdr:rowOff>152400</xdr:rowOff>
              </to>
            </anchor>
          </controlPr>
        </control>
      </mc:Choice>
      <mc:Fallback>
        <control shapeId="1026" r:id="rId4" name="Calculate_Friction_Factor"/>
      </mc:Fallback>
    </mc:AlternateContent>
    <mc:AlternateContent xmlns:mc="http://schemas.openxmlformats.org/markup-compatibility/2006">
      <mc:Choice Requires="x14">
        <control shapeId="1052" r:id="rId6" name="Segment1">
          <controlPr defaultSize="0" autoLine="0" r:id="rId7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962025</xdr:colOff>
                <xdr:row>5</xdr:row>
                <xdr:rowOff>0</xdr:rowOff>
              </to>
            </anchor>
          </controlPr>
        </control>
      </mc:Choice>
      <mc:Fallback>
        <control shapeId="1052" r:id="rId6" name="Segment1"/>
      </mc:Fallback>
    </mc:AlternateContent>
    <mc:AlternateContent xmlns:mc="http://schemas.openxmlformats.org/markup-compatibility/2006">
      <mc:Choice Requires="x14">
        <control shapeId="1056" r:id="rId8" name="Segment2">
          <controlPr defaultSize="0" autoLine="0" r:id="rId9">
            <anchor moveWithCells="1">
              <from>
                <xdr:col>4</xdr:col>
                <xdr:colOff>0</xdr:colOff>
                <xdr:row>3</xdr:row>
                <xdr:rowOff>219075</xdr:rowOff>
              </from>
              <to>
                <xdr:col>5</xdr:col>
                <xdr:colOff>1866900</xdr:colOff>
                <xdr:row>5</xdr:row>
                <xdr:rowOff>0</xdr:rowOff>
              </to>
            </anchor>
          </controlPr>
        </control>
      </mc:Choice>
      <mc:Fallback>
        <control shapeId="1056" r:id="rId8" name="Segment2"/>
      </mc:Fallback>
    </mc:AlternateContent>
    <mc:AlternateContent xmlns:mc="http://schemas.openxmlformats.org/markup-compatibility/2006">
      <mc:Choice Requires="x14">
        <control shapeId="1057" r:id="rId10" name="Segment3">
          <controlPr defaultSize="0" autoLine="0" r:id="rId11">
            <anchor moveWithCells="1">
              <from>
                <xdr:col>7</xdr:col>
                <xdr:colOff>0</xdr:colOff>
                <xdr:row>3</xdr:row>
                <xdr:rowOff>219075</xdr:rowOff>
              </from>
              <to>
                <xdr:col>8</xdr:col>
                <xdr:colOff>1962150</xdr:colOff>
                <xdr:row>5</xdr:row>
                <xdr:rowOff>0</xdr:rowOff>
              </to>
            </anchor>
          </controlPr>
        </control>
      </mc:Choice>
      <mc:Fallback>
        <control shapeId="1057" r:id="rId10" name="Segment3"/>
      </mc:Fallback>
    </mc:AlternateContent>
    <mc:AlternateContent xmlns:mc="http://schemas.openxmlformats.org/markup-compatibility/2006">
      <mc:Choice Requires="x14">
        <control shapeId="1062" r:id="rId12" name="SolveAllSegments">
          <controlPr defaultSize="0" autoLine="0" r:id="rId13">
            <anchor moveWithCells="1">
              <from>
                <xdr:col>8</xdr:col>
                <xdr:colOff>0</xdr:colOff>
                <xdr:row>0</xdr:row>
                <xdr:rowOff>19050</xdr:rowOff>
              </from>
              <to>
                <xdr:col>9</xdr:col>
                <xdr:colOff>342900</xdr:colOff>
                <xdr:row>3</xdr:row>
                <xdr:rowOff>0</xdr:rowOff>
              </to>
            </anchor>
          </controlPr>
        </control>
      </mc:Choice>
      <mc:Fallback>
        <control shapeId="1062" r:id="rId12" name="SolveAllSegments"/>
      </mc:Fallback>
    </mc:AlternateContent>
  </controls>
  <tableParts count="12"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INDIRECT(INDEX(Data!$J$4:$J$24,MATCH($T$20,Fitting,0)))</xm:f>
          </x14:formula1>
          <xm:sqref>U20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7:E38"/>
  <sheetViews>
    <sheetView showGridLines="0" workbookViewId="0">
      <selection activeCell="C35" sqref="C35"/>
    </sheetView>
  </sheetViews>
  <sheetFormatPr defaultRowHeight="15" x14ac:dyDescent="0.25"/>
  <cols>
    <col min="1" max="1" width="3" customWidth="1"/>
    <col min="2" max="2" width="22.85546875" bestFit="1" customWidth="1"/>
    <col min="3" max="4" width="12.7109375" bestFit="1" customWidth="1"/>
    <col min="5" max="5" width="21.7109375" bestFit="1" customWidth="1"/>
    <col min="8" max="8" width="2.42578125" customWidth="1"/>
    <col min="11" max="11" width="2.140625" customWidth="1"/>
    <col min="20" max="20" width="3.7109375" customWidth="1"/>
  </cols>
  <sheetData>
    <row r="27" spans="1:5" x14ac:dyDescent="0.25">
      <c r="B27" s="3" t="s">
        <v>168</v>
      </c>
      <c r="C27" s="3" t="s">
        <v>31</v>
      </c>
      <c r="D27" s="3" t="s">
        <v>161</v>
      </c>
      <c r="E27" s="3" t="s">
        <v>160</v>
      </c>
    </row>
    <row r="28" spans="1:5" x14ac:dyDescent="0.25">
      <c r="A28">
        <v>1</v>
      </c>
      <c r="B28" s="3" t="s">
        <v>169</v>
      </c>
      <c r="C28" s="7">
        <f>INDEX(LINEST('Segment 1'!$C$10:$C$86,'Segment 1'!$B$10:$B$86^{1,2,3,4,5,6}),1,A28)</f>
        <v>-0.53440565290036834</v>
      </c>
      <c r="D28" s="7">
        <f>INDEX(LINEST('Segment 1'!$F$10:$F$90,'Segment 1'!$E$10:$E$90^{1,2,3,4,5,6}),1,$A$28)</f>
        <v>-0.34840987895159847</v>
      </c>
      <c r="E28" s="7">
        <f>INDEX(LINEST('Segment 1'!$I$10:$I$91,'Segment 1'!$H$10:$H$91^{1,2,3,4,5,6}),1,A28)</f>
        <v>-1.4254480345841933</v>
      </c>
    </row>
    <row r="29" spans="1:5" x14ac:dyDescent="0.25">
      <c r="A29">
        <v>2</v>
      </c>
      <c r="B29" s="3" t="s">
        <v>170</v>
      </c>
      <c r="C29" s="7">
        <f>INDEX(LINEST('Segment 1'!$C$10:$C$86,'Segment 1'!$B$10:$B$86^{1,2,3,4,5,6}),1,A29)</f>
        <v>10.873538785911922</v>
      </c>
      <c r="D29" s="7">
        <f>INDEX(LINEST('Segment 1'!$F$10:$F$90,'Segment 1'!$E$10:$E$90^{1,2,3,4,5,6}),1,$A$29)</f>
        <v>6.8531974198901704</v>
      </c>
      <c r="E29" s="7">
        <f>INDEX(LINEST('Segment 1'!$I$10:$I$91,'Segment 1'!$H$10:$H$91^{1,2,3,4,5,6}),1,A29)</f>
        <v>27.673752024611169</v>
      </c>
    </row>
    <row r="30" spans="1:5" x14ac:dyDescent="0.25">
      <c r="A30">
        <v>3</v>
      </c>
      <c r="B30" s="3" t="s">
        <v>171</v>
      </c>
      <c r="C30" s="7">
        <f>INDEX(LINEST('Segment 1'!$C$10:$C$86,'Segment 1'!$B$10:$B$86^{1,2,3,4,5,6}),1,A30)</f>
        <v>-90.345007828339106</v>
      </c>
      <c r="D30" s="7">
        <f>INDEX(LINEST('Segment 1'!$F$10:$F$90,'Segment 1'!$E$10:$E$90^{1,2,3,4,5,6}),1,$A$30)</f>
        <v>-54.735184274836726</v>
      </c>
      <c r="E30" s="7">
        <f>INDEX(LINEST('Segment 1'!$I$10:$I$91,'Segment 1'!$H$10:$H$91^{1,2,3,4,5,6}),1,A30)</f>
        <v>-217.53640944016172</v>
      </c>
    </row>
    <row r="31" spans="1:5" x14ac:dyDescent="0.25">
      <c r="A31">
        <v>4</v>
      </c>
      <c r="B31" s="3" t="s">
        <v>172</v>
      </c>
      <c r="C31" s="7">
        <f>INDEX(LINEST('Segment 1'!$C$10:$C$86,'Segment 1'!$B$10:$B$86^{1,2,3,4,5,6}),1,A31)</f>
        <v>392.23213176904295</v>
      </c>
      <c r="D31" s="7">
        <f>INDEX(LINEST('Segment 1'!$F$10:$F$90,'Segment 1'!$E$10:$E$90^{1,2,3,4,5,6}),1,$A$31)</f>
        <v>226.87025371343634</v>
      </c>
      <c r="E31" s="7">
        <f>INDEX(LINEST('Segment 1'!$I$10:$I$91,'Segment 1'!$H$10:$H$91^{1,2,3,4,5,6}),1,A31)</f>
        <v>884.13331343106245</v>
      </c>
    </row>
    <row r="32" spans="1:5" x14ac:dyDescent="0.25">
      <c r="A32">
        <v>5</v>
      </c>
      <c r="B32" s="3" t="s">
        <v>173</v>
      </c>
      <c r="C32" s="7">
        <f>INDEX(LINEST('Segment 1'!$C$10:$C$86,'Segment 1'!$B$10:$B$86^{1,2,3,4,5,6}),1,A32)</f>
        <v>-939.11096798602432</v>
      </c>
      <c r="D32" s="7">
        <f>INDEX(LINEST('Segment 1'!$F$10:$F$90,'Segment 1'!$E$10:$E$90^{1,2,3,4,5,6}),1,$A$32)</f>
        <v>-514.37616801069578</v>
      </c>
      <c r="E32" s="7">
        <f>INDEX(LINEST('Segment 1'!$I$10:$I$91,'Segment 1'!$H$10:$H$91^{1,2,3,4,5,6}),1,A32)</f>
        <v>-1955.7585667882245</v>
      </c>
    </row>
    <row r="33" spans="1:5" x14ac:dyDescent="0.25">
      <c r="A33">
        <v>6</v>
      </c>
      <c r="B33" s="3" t="s">
        <v>174</v>
      </c>
      <c r="C33" s="7">
        <f>INDEX(LINEST('Segment 1'!$C$10:$C$86,'Segment 1'!$B$10:$B$86^{1,2,3,4,5,6}),1,A33)</f>
        <v>1178.7793301745157</v>
      </c>
      <c r="D33" s="7">
        <f>INDEX(LINEST('Segment 1'!$F$10:$F$90,'Segment 1'!$E$10:$E$90^{1,2,3,4,5,6}),1,$A$33)</f>
        <v>605.59831523058233</v>
      </c>
      <c r="E33" s="7">
        <f>INDEX(LINEST('Segment 1'!$I$10:$I$91,'Segment 1'!$H$10:$H$91^{1,2,3,4,5,6}),1,A33)</f>
        <v>2230.9273839039015</v>
      </c>
    </row>
    <row r="34" spans="1:5" x14ac:dyDescent="0.25">
      <c r="A34">
        <v>7</v>
      </c>
      <c r="B34" s="3" t="s">
        <v>175</v>
      </c>
      <c r="C34" s="7">
        <f>INDEX(LINEST('Segment 1'!$C$10:$C$86,'Segment 1'!$B$10:$B$86^{1,2,3,4,5,6}),1,A34)</f>
        <v>-508.43755109914446</v>
      </c>
      <c r="D34" s="7">
        <f>INDEX(LINEST('Segment 1'!$F$10:$F$90,'Segment 1'!$E$10:$E$90^{1,2,3,4,5,6}),1,$A$34)</f>
        <v>-189.37556587792847</v>
      </c>
      <c r="E34" s="7">
        <f>INDEX(LINEST('Segment 1'!$I$10:$I$91,'Segment 1'!$H$10:$H$91^{1,2,3,4,5,6}),1,A34)</f>
        <v>-788.31170799459505</v>
      </c>
    </row>
    <row r="35" spans="1:5" x14ac:dyDescent="0.25">
      <c r="B35" s="53" t="s">
        <v>176</v>
      </c>
      <c r="C35" s="55">
        <v>2.5053437844434341</v>
      </c>
      <c r="D35" s="55">
        <v>1.7113654250616051</v>
      </c>
      <c r="E35" s="55">
        <v>1.3965856078911707</v>
      </c>
    </row>
    <row r="36" spans="1:5" x14ac:dyDescent="0.25">
      <c r="B36" s="3" t="s">
        <v>177</v>
      </c>
      <c r="C36" s="45">
        <f>(C35^6)*C28+(C35^5)*C29+(C35^4)*C30+(C35^3)*C31+(C35^2)*C32+(C35)*C33+C34</f>
        <v>99.999999738380666</v>
      </c>
      <c r="D36" s="45">
        <f>(D35^6)*D28+(D35^5)*D29+(D35^4)*D30+(D35^3)*D31+(D35^2)*D32+(D35)*D33+D34</f>
        <v>99.99999977804282</v>
      </c>
      <c r="E36" s="45">
        <f>(E35^6)*E28+(E35^5)*E29+(E35^4)*E30+(E35^3)*E31+(E35^2)*E32+(E35)*E33+E34</f>
        <v>229.99999989142998</v>
      </c>
    </row>
    <row r="37" spans="1:5" x14ac:dyDescent="0.25">
      <c r="B37" s="3" t="s">
        <v>178</v>
      </c>
      <c r="C37" s="45">
        <f>'Segment 1'!F2</f>
        <v>100</v>
      </c>
      <c r="D37" s="45">
        <f>'Segment 1'!F3</f>
        <v>100</v>
      </c>
      <c r="E37" s="45">
        <f>'Segment 1'!F4</f>
        <v>230</v>
      </c>
    </row>
    <row r="38" spans="1:5" x14ac:dyDescent="0.25">
      <c r="B38" s="54" t="s">
        <v>8</v>
      </c>
      <c r="C38" s="17">
        <f>C36-C37</f>
        <v>-2.6161933419643901E-7</v>
      </c>
      <c r="D38" s="17">
        <f t="shared" ref="D38" si="0">D36-D37</f>
        <v>-2.2195717974682339E-7</v>
      </c>
      <c r="E38" s="17">
        <f>E37-E36</f>
        <v>1.0857002052944154E-7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Solve_S_1">
          <controlPr defaultSize="0" autoLine="0" r:id="rId4">
            <anchor moveWithCells="1">
              <from>
                <xdr:col>6</xdr:col>
                <xdr:colOff>0</xdr:colOff>
                <xdr:row>26</xdr:row>
                <xdr:rowOff>0</xdr:rowOff>
              </from>
              <to>
                <xdr:col>11</xdr:col>
                <xdr:colOff>304800</xdr:colOff>
                <xdr:row>28</xdr:row>
                <xdr:rowOff>38100</xdr:rowOff>
              </to>
            </anchor>
          </controlPr>
        </control>
      </mc:Choice>
      <mc:Fallback>
        <control shapeId="2049" r:id="rId3" name="Solve_S_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3:T49"/>
  <sheetViews>
    <sheetView showGridLines="0" topLeftCell="A10" zoomScale="90" zoomScaleNormal="90" workbookViewId="0">
      <selection activeCell="D41" sqref="D41"/>
    </sheetView>
  </sheetViews>
  <sheetFormatPr defaultRowHeight="15" x14ac:dyDescent="0.25"/>
  <cols>
    <col min="2" max="2" width="11.42578125" bestFit="1" customWidth="1"/>
    <col min="3" max="3" width="18.28515625" bestFit="1" customWidth="1"/>
    <col min="4" max="4" width="16.5703125" bestFit="1" customWidth="1"/>
    <col min="5" max="5" width="15.7109375" bestFit="1" customWidth="1"/>
    <col min="12" max="12" width="11.140625" bestFit="1" customWidth="1"/>
    <col min="13" max="13" width="26.28515625" bestFit="1" customWidth="1"/>
    <col min="14" max="14" width="12.85546875" bestFit="1" customWidth="1"/>
    <col min="15" max="15" width="25.85546875" bestFit="1" customWidth="1"/>
    <col min="16" max="16" width="28.140625" bestFit="1" customWidth="1"/>
    <col min="17" max="17" width="11.42578125" bestFit="1" customWidth="1"/>
    <col min="18" max="18" width="16.85546875" bestFit="1" customWidth="1"/>
    <col min="19" max="19" width="12.85546875" bestFit="1" customWidth="1"/>
    <col min="20" max="20" width="13.42578125" bestFit="1" customWidth="1"/>
  </cols>
  <sheetData>
    <row r="3" spans="2:5" ht="15.75" thickBot="1" x14ac:dyDescent="0.3"/>
    <row r="4" spans="2:5" ht="15.75" thickBot="1" x14ac:dyDescent="0.3">
      <c r="B4" s="60" t="s">
        <v>29</v>
      </c>
      <c r="C4" s="61" t="s">
        <v>39</v>
      </c>
      <c r="D4" s="61" t="s">
        <v>180</v>
      </c>
      <c r="E4" s="62" t="s">
        <v>179</v>
      </c>
    </row>
    <row r="5" spans="2:5" x14ac:dyDescent="0.25">
      <c r="B5" s="56">
        <v>1</v>
      </c>
      <c r="C5" s="46" t="s">
        <v>40</v>
      </c>
      <c r="D5" s="253">
        <v>3.7038408542855552</v>
      </c>
      <c r="E5" s="225">
        <f>Table11[[#This Row],[Ideal Diameter]]*5</f>
        <v>18.519204271427775</v>
      </c>
    </row>
    <row r="6" spans="2:5" x14ac:dyDescent="0.25">
      <c r="B6" s="25">
        <v>1</v>
      </c>
      <c r="C6" s="3" t="s">
        <v>41</v>
      </c>
      <c r="D6" s="253">
        <v>3.7038408542855552</v>
      </c>
      <c r="E6" s="225">
        <f>Table11[[#This Row],[Ideal Diameter]]*5</f>
        <v>18.519204271427775</v>
      </c>
    </row>
    <row r="7" spans="2:5" x14ac:dyDescent="0.25">
      <c r="B7" s="25">
        <v>1</v>
      </c>
      <c r="C7" s="3" t="s">
        <v>42</v>
      </c>
      <c r="D7" s="253">
        <v>3.7038408542855552</v>
      </c>
      <c r="E7" s="225">
        <f>Table11[[#This Row],[Ideal Diameter]]*5</f>
        <v>18.519204271427775</v>
      </c>
    </row>
    <row r="8" spans="2:5" x14ac:dyDescent="0.25">
      <c r="B8" s="25">
        <v>1</v>
      </c>
      <c r="C8" s="3" t="s">
        <v>43</v>
      </c>
      <c r="D8" s="253">
        <v>3.7038408542855552</v>
      </c>
      <c r="E8" s="225">
        <f>Table11[[#This Row],[Ideal Diameter]]*5</f>
        <v>18.519204271427775</v>
      </c>
    </row>
    <row r="9" spans="2:5" x14ac:dyDescent="0.25">
      <c r="B9" s="25">
        <v>1</v>
      </c>
      <c r="C9" s="3" t="s">
        <v>44</v>
      </c>
      <c r="D9" s="253">
        <v>3.7038408542855552</v>
      </c>
      <c r="E9" s="225">
        <f>Table11[[#This Row],[Ideal Diameter]]*5</f>
        <v>18.519204271427775</v>
      </c>
    </row>
    <row r="10" spans="2:5" x14ac:dyDescent="0.25">
      <c r="B10" s="25">
        <v>1</v>
      </c>
      <c r="C10" s="3" t="s">
        <v>119</v>
      </c>
      <c r="D10" s="253">
        <v>3.7038408542855552</v>
      </c>
      <c r="E10" s="225">
        <f>Table11[[#This Row],[Ideal Diameter]]*5</f>
        <v>18.519204271427775</v>
      </c>
    </row>
    <row r="11" spans="2:5" x14ac:dyDescent="0.25">
      <c r="B11" s="25">
        <v>1</v>
      </c>
      <c r="C11" s="3" t="s">
        <v>118</v>
      </c>
      <c r="D11" s="253">
        <v>3.549793518831005</v>
      </c>
      <c r="E11" s="58">
        <f>Table11[[#This Row],[Ideal Diameter]]*5</f>
        <v>17.748967594155026</v>
      </c>
    </row>
    <row r="12" spans="2:5" x14ac:dyDescent="0.25">
      <c r="B12" s="25">
        <v>1</v>
      </c>
      <c r="C12" s="3" t="s">
        <v>121</v>
      </c>
      <c r="D12" s="253">
        <v>3.4683921344023165</v>
      </c>
      <c r="E12" s="58">
        <f>Table11[[#This Row],[Ideal Diameter]]*5</f>
        <v>17.341960672011581</v>
      </c>
    </row>
    <row r="13" spans="2:5" x14ac:dyDescent="0.25">
      <c r="B13" s="25">
        <v>1</v>
      </c>
      <c r="C13" s="3" t="s">
        <v>122</v>
      </c>
      <c r="D13" s="253">
        <v>3.549793647251664</v>
      </c>
      <c r="E13" s="58">
        <f>Table11[[#This Row],[Ideal Diameter]]*5</f>
        <v>17.748968236258321</v>
      </c>
    </row>
    <row r="14" spans="2:5" x14ac:dyDescent="0.25">
      <c r="B14" s="25">
        <v>1</v>
      </c>
      <c r="C14" s="3" t="s">
        <v>123</v>
      </c>
      <c r="D14" s="253">
        <v>3.6081815544094051</v>
      </c>
      <c r="E14" s="58">
        <f>Table11[[#This Row],[Ideal Diameter]]*5</f>
        <v>18.040907772047024</v>
      </c>
    </row>
    <row r="15" spans="2:5" x14ac:dyDescent="0.25">
      <c r="B15" s="25">
        <v>1</v>
      </c>
      <c r="C15" s="3" t="s">
        <v>124</v>
      </c>
      <c r="D15" s="253">
        <v>3.6199636715692343</v>
      </c>
      <c r="E15" s="58">
        <f>Table11[[#This Row],[Ideal Diameter]]*5</f>
        <v>18.099818357846171</v>
      </c>
    </row>
    <row r="16" spans="2:5" x14ac:dyDescent="0.25">
      <c r="B16" s="25">
        <v>1</v>
      </c>
      <c r="C16" s="3" t="s">
        <v>125</v>
      </c>
      <c r="D16" s="253">
        <v>3.646151943535012</v>
      </c>
      <c r="E16" s="58">
        <f>Table11[[#This Row],[Ideal Diameter]]*5</f>
        <v>18.23075971767506</v>
      </c>
    </row>
    <row r="17" spans="2:5" x14ac:dyDescent="0.25">
      <c r="B17" s="25">
        <v>1</v>
      </c>
      <c r="C17" s="3" t="s">
        <v>126</v>
      </c>
      <c r="D17" s="253">
        <v>3.6291007134160354</v>
      </c>
      <c r="E17" s="58">
        <f>Table11[[#This Row],[Ideal Diameter]]*5</f>
        <v>18.145503567080176</v>
      </c>
    </row>
    <row r="18" spans="2:5" x14ac:dyDescent="0.25">
      <c r="B18" s="25">
        <v>1</v>
      </c>
      <c r="C18" s="3" t="s">
        <v>127</v>
      </c>
      <c r="D18" s="253">
        <v>3.6781293395240908</v>
      </c>
      <c r="E18" s="58">
        <f>Table11[[#This Row],[Ideal Diameter]]*5</f>
        <v>18.390646697620454</v>
      </c>
    </row>
    <row r="19" spans="2:5" ht="15.75" thickBot="1" x14ac:dyDescent="0.3">
      <c r="B19" s="26">
        <v>1</v>
      </c>
      <c r="C19" s="27" t="s">
        <v>128</v>
      </c>
      <c r="D19" s="253">
        <v>3.7283729355226281</v>
      </c>
      <c r="E19" s="59">
        <f>Table11[[#This Row],[Ideal Diameter]]*5</f>
        <v>18.641864677613139</v>
      </c>
    </row>
    <row r="20" spans="2:5" x14ac:dyDescent="0.25">
      <c r="B20" s="56">
        <v>2</v>
      </c>
      <c r="C20" s="46" t="s">
        <v>40</v>
      </c>
      <c r="D20" s="253">
        <v>1.689490603918004</v>
      </c>
      <c r="E20" s="57">
        <f>Table11[[#This Row],[Ideal Diameter]]*5</f>
        <v>8.4474530195900197</v>
      </c>
    </row>
    <row r="21" spans="2:5" x14ac:dyDescent="0.25">
      <c r="B21" s="25">
        <v>2</v>
      </c>
      <c r="C21" s="3" t="s">
        <v>41</v>
      </c>
      <c r="D21" s="253">
        <v>1.689490603918004</v>
      </c>
      <c r="E21" s="58">
        <f>Table11[[#This Row],[Ideal Diameter]]*5</f>
        <v>8.4474530195900197</v>
      </c>
    </row>
    <row r="22" spans="2:5" x14ac:dyDescent="0.25">
      <c r="B22" s="25">
        <v>2</v>
      </c>
      <c r="C22" s="3" t="s">
        <v>42</v>
      </c>
      <c r="D22" s="253">
        <v>1.689490603918004</v>
      </c>
      <c r="E22" s="58">
        <f>Table11[[#This Row],[Ideal Diameter]]*5</f>
        <v>8.4474530195900197</v>
      </c>
    </row>
    <row r="23" spans="2:5" x14ac:dyDescent="0.25">
      <c r="B23" s="25">
        <v>2</v>
      </c>
      <c r="C23" s="3" t="s">
        <v>43</v>
      </c>
      <c r="D23" s="253">
        <v>1.689490603918004</v>
      </c>
      <c r="E23" s="58">
        <f>Table11[[#This Row],[Ideal Diameter]]*5</f>
        <v>8.4474530195900197</v>
      </c>
    </row>
    <row r="24" spans="2:5" x14ac:dyDescent="0.25">
      <c r="B24" s="25">
        <v>2</v>
      </c>
      <c r="C24" s="3" t="s">
        <v>44</v>
      </c>
      <c r="D24" s="253">
        <v>1.689490603918004</v>
      </c>
      <c r="E24" s="58">
        <f>Table11[[#This Row],[Ideal Diameter]]*5</f>
        <v>8.4474530195900197</v>
      </c>
    </row>
    <row r="25" spans="2:5" x14ac:dyDescent="0.25">
      <c r="B25" s="25">
        <v>2</v>
      </c>
      <c r="C25" s="3" t="s">
        <v>119</v>
      </c>
      <c r="D25" s="253">
        <v>1.689490603918004</v>
      </c>
      <c r="E25" s="58">
        <f>Table11[[#This Row],[Ideal Diameter]]*5</f>
        <v>8.4474530195900197</v>
      </c>
    </row>
    <row r="26" spans="2:5" x14ac:dyDescent="0.25">
      <c r="B26" s="25">
        <v>2</v>
      </c>
      <c r="C26" s="3" t="s">
        <v>118</v>
      </c>
      <c r="D26" s="253">
        <v>1.5699990290216301</v>
      </c>
      <c r="E26" s="58">
        <f>Table11[[#This Row],[Ideal Diameter]]*5</f>
        <v>7.8499951451081511</v>
      </c>
    </row>
    <row r="27" spans="2:5" x14ac:dyDescent="0.25">
      <c r="B27" s="25">
        <v>2</v>
      </c>
      <c r="C27" s="3" t="s">
        <v>121</v>
      </c>
      <c r="D27" s="253">
        <v>1.5641215870306719</v>
      </c>
      <c r="E27" s="58">
        <f>Table11[[#This Row],[Ideal Diameter]]*5</f>
        <v>7.8206079351533599</v>
      </c>
    </row>
    <row r="28" spans="2:5" x14ac:dyDescent="0.25">
      <c r="B28" s="25">
        <v>2</v>
      </c>
      <c r="C28" s="3" t="s">
        <v>122</v>
      </c>
      <c r="D28" s="253">
        <v>1.5699990732113005</v>
      </c>
      <c r="E28" s="58">
        <f>Table11[[#This Row],[Ideal Diameter]]*5</f>
        <v>7.8499953660565023</v>
      </c>
    </row>
    <row r="29" spans="2:5" x14ac:dyDescent="0.25">
      <c r="B29" s="25">
        <v>2</v>
      </c>
      <c r="C29" s="3" t="s">
        <v>123</v>
      </c>
      <c r="D29" s="253">
        <v>1.58283956745277</v>
      </c>
      <c r="E29" s="58">
        <f>Table11[[#This Row],[Ideal Diameter]]*5</f>
        <v>7.91419783726385</v>
      </c>
    </row>
    <row r="30" spans="2:5" x14ac:dyDescent="0.25">
      <c r="B30" s="25">
        <v>2</v>
      </c>
      <c r="C30" s="3" t="s">
        <v>124</v>
      </c>
      <c r="D30" s="253">
        <v>1.5875071990806722</v>
      </c>
      <c r="E30" s="58">
        <f>Table11[[#This Row],[Ideal Diameter]]*5</f>
        <v>7.9375359954033611</v>
      </c>
    </row>
    <row r="31" spans="2:5" x14ac:dyDescent="0.25">
      <c r="B31" s="25">
        <v>2</v>
      </c>
      <c r="C31" s="3" t="s">
        <v>125</v>
      </c>
      <c r="D31" s="253">
        <v>1.6024536048361708</v>
      </c>
      <c r="E31" s="58">
        <f>Table11[[#This Row],[Ideal Diameter]]*5</f>
        <v>8.0122680241808535</v>
      </c>
    </row>
    <row r="32" spans="2:5" x14ac:dyDescent="0.25">
      <c r="B32" s="25">
        <v>2</v>
      </c>
      <c r="C32" s="3" t="s">
        <v>126</v>
      </c>
      <c r="D32" s="253">
        <v>1.5918970924733347</v>
      </c>
      <c r="E32" s="58">
        <f>Table11[[#This Row],[Ideal Diameter]]*5</f>
        <v>7.9594854623666738</v>
      </c>
    </row>
    <row r="33" spans="2:20" x14ac:dyDescent="0.25">
      <c r="B33" s="25">
        <v>2</v>
      </c>
      <c r="C33" s="3" t="s">
        <v>127</v>
      </c>
      <c r="D33" s="253">
        <v>1.6357532672738533</v>
      </c>
      <c r="E33" s="58">
        <f>Table11[[#This Row],[Ideal Diameter]]*5</f>
        <v>8.1787663363692662</v>
      </c>
    </row>
    <row r="34" spans="2:20" ht="15.75" thickBot="1" x14ac:dyDescent="0.3">
      <c r="B34" s="26">
        <v>2</v>
      </c>
      <c r="C34" s="27" t="s">
        <v>128</v>
      </c>
      <c r="D34" s="253">
        <v>1.8766392728816901</v>
      </c>
      <c r="E34" s="59">
        <f>Table11[[#This Row],[Ideal Diameter]]*5</f>
        <v>9.38319636440845</v>
      </c>
      <c r="L34" s="303" t="s">
        <v>191</v>
      </c>
      <c r="M34" s="303"/>
      <c r="N34" s="303"/>
      <c r="O34" s="303"/>
      <c r="P34" s="303"/>
      <c r="Q34" s="303"/>
      <c r="R34" s="303"/>
      <c r="S34" s="303"/>
      <c r="T34" s="303"/>
    </row>
    <row r="35" spans="2:20" x14ac:dyDescent="0.25">
      <c r="B35" s="56">
        <v>3</v>
      </c>
      <c r="C35" s="46" t="s">
        <v>40</v>
      </c>
      <c r="D35" s="253">
        <v>1.4781522099590889</v>
      </c>
      <c r="E35" s="57">
        <f>Table11[[#This Row],[Ideal Diameter]]*5</f>
        <v>7.3907610497954446</v>
      </c>
      <c r="L35" s="111" t="s">
        <v>29</v>
      </c>
      <c r="M35" s="111" t="s">
        <v>181</v>
      </c>
      <c r="N35" s="111" t="s">
        <v>39</v>
      </c>
      <c r="O35" s="96" t="s">
        <v>184</v>
      </c>
      <c r="P35" s="96" t="s">
        <v>182</v>
      </c>
      <c r="Q35" s="3" t="s">
        <v>156</v>
      </c>
      <c r="R35" s="96" t="s">
        <v>189</v>
      </c>
      <c r="S35" s="3" t="s">
        <v>18</v>
      </c>
      <c r="T35" s="96" t="s">
        <v>190</v>
      </c>
    </row>
    <row r="36" spans="2:20" x14ac:dyDescent="0.25">
      <c r="B36" s="25">
        <v>3</v>
      </c>
      <c r="C36" s="3" t="s">
        <v>41</v>
      </c>
      <c r="D36" s="253">
        <v>1.4781522099590889</v>
      </c>
      <c r="E36" s="58">
        <f>Table11[[#This Row],[Ideal Diameter]]*5</f>
        <v>7.3907610497954446</v>
      </c>
      <c r="L36" s="103">
        <v>1</v>
      </c>
      <c r="M36" s="108">
        <f>INDEX('Material and Cost Analysis'!D5:D19,MATCH(MIN('Material and Cost Analysis'!E5:E19),'Material and Cost Analysis'!E5:E19,0))</f>
        <v>3.4683921344023165</v>
      </c>
      <c r="N36" s="103" t="str">
        <f>INDEX('Material and Cost Analysis'!C5:C19,MATCH('Material and Cost Analysis'!M36,'Material and Cost Analysis'!D5:D19,0))</f>
        <v>Drawn tubing</v>
      </c>
      <c r="O36" s="108">
        <f t="array" ref="O36">INDEX(Data!N5:N50,MATCH(MIN(ABS(M36-Data!N5:N50)),ABS(M36-Data!N5:N50),0))</f>
        <v>3.548</v>
      </c>
      <c r="P36" s="103">
        <f>INDEX(Data!$L$5:$L$50,MATCH('Material and Cost Analysis'!O36,Data!$N$5:$N$50,0))</f>
        <v>3.5</v>
      </c>
      <c r="Q36" s="103" t="str">
        <f t="array" ref="Q36">IF(OR(Table4[[#This Row],[Material]]="COPPER",Table4[[#This Row],[Material]]="DRAWN TUBING"), "-",INDEX(Table21[Schedule],MATCH(Table10[[#This Row],[Inside Pipe Diameter (in)]],Table21[Inside Diameter (in)],0)))</f>
        <v>-</v>
      </c>
      <c r="R36" s="103">
        <f>5*Table10[[#This Row],[Nominal Pipe Diameter (in)]]</f>
        <v>17.5</v>
      </c>
      <c r="S36" s="103">
        <v>20</v>
      </c>
      <c r="T36" s="103">
        <f>Table10[[#This Row],[Length (m)]]*Table10[[#This Row],[$/meter length]]</f>
        <v>350</v>
      </c>
    </row>
    <row r="37" spans="2:20" x14ac:dyDescent="0.25">
      <c r="B37" s="25">
        <v>3</v>
      </c>
      <c r="C37" s="3" t="s">
        <v>42</v>
      </c>
      <c r="D37" s="253">
        <v>1.4781522099590889</v>
      </c>
      <c r="E37" s="58">
        <f>Table11[[#This Row],[Ideal Diameter]]*5</f>
        <v>7.3907610497954446</v>
      </c>
      <c r="L37" s="103">
        <v>2</v>
      </c>
      <c r="M37" s="108">
        <f>INDEX('Material and Cost Analysis'!D20:D34,MATCH(MIN('Material and Cost Analysis'!E20:E34),'Material and Cost Analysis'!E20:E34,0))</f>
        <v>1.5641215870306719</v>
      </c>
      <c r="N37" s="103" t="str">
        <f>INDEX('Material and Cost Analysis'!C20:C34,MATCH('Material and Cost Analysis'!M37,'Material and Cost Analysis'!D20:D34,0))</f>
        <v>Drawn tubing</v>
      </c>
      <c r="O37" s="108">
        <f t="array" ref="O37">INDEX(Data!AH5:AH65,MATCH(MIN(ABS(M37-Data!AH5:AH65)),ABS(M37-Data!AH5:AH65),0))</f>
        <v>1.6040000000000001</v>
      </c>
      <c r="P37" s="103">
        <f>INDEX(Data!$AF$5:$AF$65,MATCH('Material and Cost Analysis'!O37,Data!$AH$5:$AH$65,0))</f>
        <v>2.375</v>
      </c>
      <c r="Q37" s="103" t="str">
        <f t="array" ref="Q37">IF(OR(Table4[[#This Row],[Material]]="COPPER",Table4[[#This Row],[Material]]="DRAWN TUBING"), "-",INDEX(Table21[Schedule],MATCH(Table10[[#This Row],[Inside Pipe Diameter (in)]],Table21[Inside Diameter (in)],0)))</f>
        <v>-</v>
      </c>
      <c r="R37" s="103">
        <f>5*Table10[[#This Row],[Nominal Pipe Diameter (in)]]</f>
        <v>11.875</v>
      </c>
      <c r="S37" s="103">
        <v>5</v>
      </c>
      <c r="T37" s="103">
        <f>Table10[[#This Row],[Length (m)]]*Table10[[#This Row],[$/meter length]]</f>
        <v>59.375</v>
      </c>
    </row>
    <row r="38" spans="2:20" x14ac:dyDescent="0.25">
      <c r="B38" s="25">
        <v>3</v>
      </c>
      <c r="C38" s="3" t="s">
        <v>43</v>
      </c>
      <c r="D38" s="253">
        <v>1.4781522099590889</v>
      </c>
      <c r="E38" s="58">
        <f>Table11[[#This Row],[Ideal Diameter]]*5</f>
        <v>7.3907610497954446</v>
      </c>
      <c r="L38" s="103">
        <v>3</v>
      </c>
      <c r="M38" s="108">
        <f>INDEX('Material and Cost Analysis'!D35:D49,MATCH(MIN('Material and Cost Analysis'!E35:E49),'Material and Cost Analysis'!E35:E49,0))</f>
        <v>1.3306091058978273</v>
      </c>
      <c r="N38" s="103" t="str">
        <f>INDEX('Material and Cost Analysis'!C35:C49,MATCH('Material and Cost Analysis'!M38,'Material and Cost Analysis'!D35:D49,0))</f>
        <v>Drawn tubing</v>
      </c>
      <c r="O38" s="108">
        <f t="array" ref="O38">INDEX(Data!V5:V21,MATCH(MIN(ABS(M38-Data!V5:V21)),ABS(M38-Data!V5:V21),0))</f>
        <v>1.2450000000000001</v>
      </c>
      <c r="P38" s="103">
        <f>INDEX(Data!$T$5:$T$21,MATCH('Material and Cost Analysis'!O38,Data!$V$5:$V$21,0))</f>
        <v>1.25</v>
      </c>
      <c r="Q38" s="103" t="str">
        <f t="array" ref="Q38">IF(OR(Table4[[#This Row],[Material]]="COPPER",Table4[[#This Row],[Material]]="DRAWN TUBING"), "-",INDEX(Table21[Schedule],MATCH(Table10[[#This Row],[Inside Pipe Diameter (in)]],Table21[Inside Diameter (in)],0)))</f>
        <v>-</v>
      </c>
      <c r="R38" s="103">
        <f>5*Table10[[#This Row],[Nominal Pipe Diameter (in)]]</f>
        <v>6.25</v>
      </c>
      <c r="S38" s="103">
        <v>5</v>
      </c>
      <c r="T38" s="103">
        <f>Table10[[#This Row],[Length (m)]]*Table10[[#This Row],[$/meter length]]</f>
        <v>31.25</v>
      </c>
    </row>
    <row r="39" spans="2:20" x14ac:dyDescent="0.25">
      <c r="B39" s="25">
        <v>3</v>
      </c>
      <c r="C39" s="3" t="s">
        <v>44</v>
      </c>
      <c r="D39" s="253">
        <v>1.4781522099590889</v>
      </c>
      <c r="E39" s="58">
        <f>Table11[[#This Row],[Ideal Diameter]]*5</f>
        <v>7.3907610497954446</v>
      </c>
      <c r="L39" s="114" t="s">
        <v>205</v>
      </c>
      <c r="M39" s="109"/>
      <c r="N39" s="110"/>
      <c r="O39" s="112"/>
      <c r="P39" s="112"/>
      <c r="Q39" s="112"/>
      <c r="R39" s="112"/>
      <c r="S39" s="112"/>
      <c r="T39" s="113">
        <f>SUBTOTAL(109,Table10[Total Cost $])</f>
        <v>440.625</v>
      </c>
    </row>
    <row r="40" spans="2:20" x14ac:dyDescent="0.25">
      <c r="B40" s="25">
        <v>3</v>
      </c>
      <c r="C40" s="3" t="s">
        <v>119</v>
      </c>
      <c r="D40" s="253">
        <v>1.4781522099590889</v>
      </c>
      <c r="E40" s="58">
        <f>Table11[[#This Row],[Ideal Diameter]]*5</f>
        <v>7.3907610497954446</v>
      </c>
    </row>
    <row r="41" spans="2:20" x14ac:dyDescent="0.25">
      <c r="B41" s="25">
        <v>3</v>
      </c>
      <c r="C41" s="3" t="s">
        <v>118</v>
      </c>
      <c r="D41" s="253">
        <v>1.3415135432370975</v>
      </c>
      <c r="E41" s="58">
        <f>Table11[[#This Row],[Ideal Diameter]]*5</f>
        <v>6.707567716185487</v>
      </c>
    </row>
    <row r="42" spans="2:20" x14ac:dyDescent="0.25">
      <c r="B42" s="25">
        <v>3</v>
      </c>
      <c r="C42" s="3" t="s">
        <v>121</v>
      </c>
      <c r="D42" s="253">
        <v>1.3306091058978273</v>
      </c>
      <c r="E42" s="58">
        <f>Table11[[#This Row],[Ideal Diameter]]*5</f>
        <v>6.6530455294891366</v>
      </c>
    </row>
    <row r="43" spans="2:20" x14ac:dyDescent="0.25">
      <c r="B43" s="25">
        <v>3</v>
      </c>
      <c r="C43" s="3" t="s">
        <v>122</v>
      </c>
      <c r="D43" s="253">
        <v>1.3415135161608609</v>
      </c>
      <c r="E43" s="58">
        <f>Table11[[#This Row],[Ideal Diameter]]*5</f>
        <v>6.7075675808043043</v>
      </c>
    </row>
    <row r="44" spans="2:20" x14ac:dyDescent="0.25">
      <c r="B44" s="25">
        <v>3</v>
      </c>
      <c r="C44" s="3" t="s">
        <v>123</v>
      </c>
      <c r="D44" s="253">
        <v>1.3613292842508971</v>
      </c>
      <c r="E44" s="58">
        <f>Table11[[#This Row],[Ideal Diameter]]*5</f>
        <v>6.8066464212544853</v>
      </c>
    </row>
    <row r="45" spans="2:20" x14ac:dyDescent="0.25">
      <c r="B45" s="25">
        <v>3</v>
      </c>
      <c r="C45" s="3" t="s">
        <v>124</v>
      </c>
      <c r="D45" s="253">
        <v>1.3677931881545196</v>
      </c>
      <c r="E45" s="58">
        <f>Table11[[#This Row],[Ideal Diameter]]*5</f>
        <v>6.8389659407725976</v>
      </c>
    </row>
    <row r="46" spans="2:20" x14ac:dyDescent="0.25">
      <c r="B46" s="25">
        <v>3</v>
      </c>
      <c r="C46" s="3" t="s">
        <v>125</v>
      </c>
      <c r="D46" s="253">
        <v>1.3870002737422795</v>
      </c>
      <c r="E46" s="58">
        <f>Table11[[#This Row],[Ideal Diameter]]*5</f>
        <v>6.9350013687113972</v>
      </c>
    </row>
    <row r="47" spans="2:20" x14ac:dyDescent="0.25">
      <c r="B47" s="25">
        <v>3</v>
      </c>
      <c r="C47" s="3" t="s">
        <v>126</v>
      </c>
      <c r="D47" s="253">
        <v>1.3736397635573543</v>
      </c>
      <c r="E47" s="58">
        <f>Table11[[#This Row],[Ideal Diameter]]*5</f>
        <v>6.8681988177867712</v>
      </c>
    </row>
    <row r="48" spans="2:20" x14ac:dyDescent="0.25">
      <c r="B48" s="25">
        <v>3</v>
      </c>
      <c r="C48" s="3" t="s">
        <v>127</v>
      </c>
      <c r="D48" s="253">
        <v>1.4250692940796079</v>
      </c>
      <c r="E48" s="58">
        <f>Table11[[#This Row],[Ideal Diameter]]*5</f>
        <v>7.1253464703980391</v>
      </c>
    </row>
    <row r="49" spans="2:5" ht="15.75" thickBot="1" x14ac:dyDescent="0.3">
      <c r="B49" s="26">
        <v>3</v>
      </c>
      <c r="C49" s="27" t="s">
        <v>128</v>
      </c>
      <c r="D49" s="253">
        <v>1.561830485812653</v>
      </c>
      <c r="E49" s="59">
        <f>Table11[[#This Row],[Ideal Diameter]]*5</f>
        <v>7.809152429063265</v>
      </c>
    </row>
  </sheetData>
  <mergeCells count="1">
    <mergeCell ref="L34:T34"/>
  </mergeCells>
  <dataValidations count="1">
    <dataValidation type="list" allowBlank="1" showInputMessage="1" showErrorMessage="1" sqref="I11" xr:uid="{00000000-0002-0000-0400-000000000000}">
      <formula1>$G$11:$G$15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2" r:id="rId3" name="Analyze_All_Segments_Materials">
          <controlPr autoLine="0" r:id="rId4">
            <anchor moveWithCells="1">
              <from>
                <xdr:col>6</xdr:col>
                <xdr:colOff>0</xdr:colOff>
                <xdr:row>15</xdr:row>
                <xdr:rowOff>0</xdr:rowOff>
              </from>
              <to>
                <xdr:col>10</xdr:col>
                <xdr:colOff>0</xdr:colOff>
                <xdr:row>18</xdr:row>
                <xdr:rowOff>9525</xdr:rowOff>
              </to>
            </anchor>
          </controlPr>
        </control>
      </mc:Choice>
      <mc:Fallback>
        <control shapeId="9222" r:id="rId3" name="Analyze_All_Segments_Materials"/>
      </mc:Fallback>
    </mc:AlternateContent>
    <mc:AlternateContent xmlns:mc="http://schemas.openxmlformats.org/markup-compatibility/2006">
      <mc:Choice Requires="x14">
        <control shapeId="9221" r:id="rId5" name="Analyze_Segment3_Material_Cost">
          <controlPr autoLine="0" r:id="rId6">
            <anchor moveWithCells="1">
              <from>
                <xdr:col>6</xdr:col>
                <xdr:colOff>0</xdr:colOff>
                <xdr:row>11</xdr:row>
                <xdr:rowOff>0</xdr:rowOff>
              </from>
              <to>
                <xdr:col>10</xdr:col>
                <xdr:colOff>0</xdr:colOff>
                <xdr:row>14</xdr:row>
                <xdr:rowOff>9525</xdr:rowOff>
              </to>
            </anchor>
          </controlPr>
        </control>
      </mc:Choice>
      <mc:Fallback>
        <control shapeId="9221" r:id="rId5" name="Analyze_Segment3_Material_Cost"/>
      </mc:Fallback>
    </mc:AlternateContent>
    <mc:AlternateContent xmlns:mc="http://schemas.openxmlformats.org/markup-compatibility/2006">
      <mc:Choice Requires="x14">
        <control shapeId="9220" r:id="rId7" name="Analyze_Segment2_Material_Cost">
          <controlPr autoLine="0" r:id="rId8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10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9220" r:id="rId7" name="Analyze_Segment2_Material_Cost"/>
      </mc:Fallback>
    </mc:AlternateContent>
    <mc:AlternateContent xmlns:mc="http://schemas.openxmlformats.org/markup-compatibility/2006">
      <mc:Choice Requires="x14">
        <control shapeId="9217" r:id="rId9" name="Analyze_Segment1_Material_Cost">
          <controlPr autoLine="0" r:id="rId10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10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9217" r:id="rId9" name="Analyze_Segment1_Material_Cost"/>
      </mc:Fallback>
    </mc:AlternateContent>
  </controls>
  <tableParts count="3">
    <tablePart r:id="rId11"/>
    <tablePart r:id="rId12"/>
    <tablePart r:id="rId1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U52"/>
  <sheetViews>
    <sheetView showGridLines="0" workbookViewId="0">
      <selection activeCell="D3" sqref="D3"/>
    </sheetView>
  </sheetViews>
  <sheetFormatPr defaultRowHeight="15" x14ac:dyDescent="0.25"/>
  <cols>
    <col min="1" max="1" width="16.7109375" bestFit="1" customWidth="1"/>
    <col min="2" max="2" width="19.85546875" bestFit="1" customWidth="1"/>
    <col min="3" max="3" width="18" bestFit="1" customWidth="1"/>
    <col min="4" max="4" width="24.28515625" bestFit="1" customWidth="1"/>
    <col min="5" max="5" width="18" bestFit="1" customWidth="1"/>
    <col min="6" max="6" width="16" bestFit="1" customWidth="1"/>
    <col min="7" max="7" width="15.85546875" bestFit="1" customWidth="1"/>
    <col min="8" max="8" width="15.140625" bestFit="1" customWidth="1"/>
    <col min="9" max="9" width="16.42578125" bestFit="1" customWidth="1"/>
    <col min="10" max="10" width="17" bestFit="1" customWidth="1"/>
    <col min="11" max="11" width="13.28515625" bestFit="1" customWidth="1"/>
    <col min="12" max="13" width="16" bestFit="1" customWidth="1"/>
    <col min="14" max="14" width="10.7109375" bestFit="1" customWidth="1"/>
    <col min="15" max="15" width="9" bestFit="1" customWidth="1"/>
    <col min="16" max="16" width="14.140625" bestFit="1" customWidth="1"/>
    <col min="17" max="17" width="22.140625" bestFit="1" customWidth="1"/>
    <col min="18" max="18" width="35" bestFit="1" customWidth="1"/>
    <col min="19" max="19" width="24" bestFit="1" customWidth="1"/>
    <col min="20" max="20" width="29.7109375" bestFit="1" customWidth="1"/>
    <col min="21" max="21" width="15.5703125" bestFit="1" customWidth="1"/>
  </cols>
  <sheetData>
    <row r="1" spans="1:21" x14ac:dyDescent="0.25">
      <c r="A1" s="47"/>
      <c r="B1" s="48"/>
      <c r="C1" s="48"/>
      <c r="D1" s="48"/>
      <c r="E1" s="48"/>
      <c r="F1" s="48"/>
      <c r="G1" s="49"/>
    </row>
    <row r="2" spans="1:21" x14ac:dyDescent="0.25">
      <c r="A2" s="19" t="s">
        <v>158</v>
      </c>
      <c r="B2" s="19" t="s">
        <v>218</v>
      </c>
      <c r="C2" s="19" t="s">
        <v>0</v>
      </c>
      <c r="D2" s="19" t="s">
        <v>4</v>
      </c>
      <c r="E2" s="19" t="s">
        <v>5</v>
      </c>
      <c r="F2" s="19" t="s">
        <v>1</v>
      </c>
      <c r="G2" s="19" t="s">
        <v>2</v>
      </c>
    </row>
    <row r="3" spans="1:21" x14ac:dyDescent="0.25">
      <c r="A3" s="64" t="s">
        <v>3</v>
      </c>
      <c r="B3" s="3">
        <v>784.8</v>
      </c>
      <c r="C3" s="3">
        <v>1.7334E-3</v>
      </c>
      <c r="D3" s="3">
        <v>1.096E-3</v>
      </c>
      <c r="E3" s="3">
        <f>D3*B3</f>
        <v>0.86014079999999993</v>
      </c>
      <c r="F3" s="3">
        <v>0.86014080000000004</v>
      </c>
      <c r="G3" s="3">
        <f>1-F3</f>
        <v>0.13985919999999996</v>
      </c>
    </row>
    <row r="4" spans="1:21" ht="15.75" thickBot="1" x14ac:dyDescent="0.3"/>
    <row r="5" spans="1:21" ht="19.5" thickBot="1" x14ac:dyDescent="0.35">
      <c r="A5" s="313" t="s">
        <v>115</v>
      </c>
      <c r="B5" s="300"/>
      <c r="C5" s="300"/>
      <c r="D5" s="300"/>
      <c r="E5" s="300"/>
      <c r="F5" s="300"/>
      <c r="G5" s="300"/>
      <c r="H5" s="300"/>
      <c r="I5" s="300"/>
      <c r="J5" s="300"/>
      <c r="K5" s="300"/>
      <c r="L5" s="300"/>
      <c r="M5" s="300"/>
      <c r="N5" s="301"/>
      <c r="P5" s="165" t="s">
        <v>29</v>
      </c>
      <c r="Q5" s="166" t="s">
        <v>146</v>
      </c>
      <c r="R5" s="166" t="s">
        <v>149</v>
      </c>
      <c r="S5" s="166" t="s">
        <v>147</v>
      </c>
      <c r="T5" s="167" t="s">
        <v>148</v>
      </c>
      <c r="U5" s="167" t="s">
        <v>8</v>
      </c>
    </row>
    <row r="6" spans="1:21" ht="18.75" x14ac:dyDescent="0.3">
      <c r="A6" s="314" t="s">
        <v>32</v>
      </c>
      <c r="B6" s="308"/>
      <c r="C6" s="157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8"/>
      <c r="P6" s="162">
        <v>1</v>
      </c>
      <c r="Q6" s="50">
        <f>101.325</f>
        <v>101.325</v>
      </c>
      <c r="R6" s="171">
        <f>(B8*Table628[Density (kg/m3)])/1000</f>
        <v>0.17885367877855171</v>
      </c>
      <c r="S6" s="168">
        <f>Q6-R6</f>
        <v>101.14614632122145</v>
      </c>
      <c r="T6" s="174">
        <v>101.325</v>
      </c>
      <c r="U6" s="177">
        <f>Table3[[#This Row],[Pressure out (kPA)]]-Table3[[#This Row],[Objective Pressure (kPa)]]</f>
        <v>-0.17885367877855174</v>
      </c>
    </row>
    <row r="7" spans="1:21" x14ac:dyDescent="0.25">
      <c r="A7" s="147" t="s">
        <v>29</v>
      </c>
      <c r="B7" s="21" t="s">
        <v>116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24"/>
      <c r="P7" s="163">
        <v>2</v>
      </c>
      <c r="Q7" s="52">
        <f>S6</f>
        <v>101.14614632122145</v>
      </c>
      <c r="R7" s="172">
        <f>(B9*Table628[Density (kg/m3)])/1000</f>
        <v>1.484940002092809</v>
      </c>
      <c r="S7" s="169">
        <f t="shared" ref="S7:S8" si="0">Q7-R7</f>
        <v>99.661206319128638</v>
      </c>
      <c r="T7" s="175">
        <f>100</f>
        <v>100</v>
      </c>
      <c r="U7" s="175">
        <f>Table3[[#This Row],[Pressure out (kPA)]]-Table3[[#This Row],[Objective Pressure (kPa)]]</f>
        <v>-0.33879368087136186</v>
      </c>
    </row>
    <row r="8" spans="1:21" ht="15.75" thickBot="1" x14ac:dyDescent="0.3">
      <c r="A8" s="25">
        <v>1</v>
      </c>
      <c r="B8" s="144">
        <f>F21+N21+F27+M27</f>
        <v>0.22789714421324123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24"/>
      <c r="P8" s="164">
        <v>3</v>
      </c>
      <c r="Q8" s="93">
        <f>'Segment 1'!C4</f>
        <v>238.81069148958949</v>
      </c>
      <c r="R8" s="173">
        <f>(B10*Table628[Density (kg/m3)])/1000</f>
        <v>3.6777355384474704</v>
      </c>
      <c r="S8" s="170">
        <f t="shared" si="0"/>
        <v>235.13295595114201</v>
      </c>
      <c r="T8" s="176">
        <v>230</v>
      </c>
      <c r="U8" s="176">
        <f>Table3[[#This Row],[Pressure out (kPA)]]-Table3[[#This Row],[Objective Pressure (kPa)]]</f>
        <v>5.1329559511420086</v>
      </c>
    </row>
    <row r="9" spans="1:21" x14ac:dyDescent="0.25">
      <c r="A9" s="25">
        <v>2</v>
      </c>
      <c r="B9" s="144">
        <f>F22+N22+F28+M28</f>
        <v>1.8921253849296753</v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24"/>
    </row>
    <row r="10" spans="1:21" x14ac:dyDescent="0.25">
      <c r="A10" s="25">
        <v>3</v>
      </c>
      <c r="B10" s="144">
        <f>F23+N23+F29+M29</f>
        <v>4.6862073629554928</v>
      </c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24"/>
    </row>
    <row r="11" spans="1:21" x14ac:dyDescent="0.25">
      <c r="A11" s="148" t="s">
        <v>240</v>
      </c>
      <c r="B11" s="145">
        <f>SUM(B8:B10)</f>
        <v>6.8062298920984095</v>
      </c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24"/>
    </row>
    <row r="12" spans="1:21" x14ac:dyDescent="0.25">
      <c r="A12" s="149" t="s">
        <v>117</v>
      </c>
      <c r="B12" s="146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24"/>
    </row>
    <row r="13" spans="1:21" x14ac:dyDescent="0.25">
      <c r="A13" s="150"/>
      <c r="B13" s="4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24"/>
    </row>
    <row r="14" spans="1:21" x14ac:dyDescent="0.25">
      <c r="A14" s="196" t="s">
        <v>39</v>
      </c>
      <c r="B14" s="196" t="s">
        <v>252</v>
      </c>
      <c r="C14" s="196" t="s">
        <v>251</v>
      </c>
      <c r="D14" s="196" t="s">
        <v>11</v>
      </c>
      <c r="E14" s="196" t="s">
        <v>13</v>
      </c>
      <c r="F14" s="196" t="s">
        <v>12</v>
      </c>
      <c r="G14" s="196" t="s">
        <v>14</v>
      </c>
      <c r="H14" s="196" t="s">
        <v>15</v>
      </c>
      <c r="I14" s="196" t="s">
        <v>34</v>
      </c>
      <c r="J14" s="197" t="s">
        <v>16</v>
      </c>
      <c r="K14" s="197" t="s">
        <v>33</v>
      </c>
      <c r="L14" s="198" t="s">
        <v>35</v>
      </c>
      <c r="M14" s="198" t="s">
        <v>37</v>
      </c>
      <c r="N14" s="196" t="s">
        <v>36</v>
      </c>
      <c r="O14" s="196" t="s">
        <v>38</v>
      </c>
    </row>
    <row r="15" spans="1:21" x14ac:dyDescent="0.25">
      <c r="A15" s="23" t="s">
        <v>40</v>
      </c>
      <c r="B15" s="132">
        <f>'Material and Cost Analysis'!P36</f>
        <v>3.5</v>
      </c>
      <c r="C15" s="189">
        <f>'Material and Cost Analysis'!M36</f>
        <v>3.4683921344023165</v>
      </c>
      <c r="D15" s="199">
        <f>CONVERT(C15,"in","m")</f>
        <v>8.8097160213818831E-2</v>
      </c>
      <c r="E15" s="200">
        <f>(('P 401 A-B Sizing'!$D15/2)^2)*PI()</f>
        <v>6.0955612554066526E-3</v>
      </c>
      <c r="F15" s="200">
        <f>Table628[Volumetric flow (m3/s)]*1000</f>
        <v>1.0959999999999999</v>
      </c>
      <c r="G15" s="201">
        <f>$D$3/E15</f>
        <v>0.17980296712265303</v>
      </c>
      <c r="H15" s="202">
        <f>(D15*G15*$B$3)/$C$3</f>
        <v>7171.6480056745831</v>
      </c>
      <c r="I15" s="202" t="str">
        <f>IF('P 401 A-B Sizing'!$H15&gt;4000,"TURBULENT",IF('P 401 A-B Sizing'!$H15&lt;=4000,"LAMINAR","-"))</f>
        <v>TURBULENT</v>
      </c>
      <c r="J15" s="201">
        <f>INDEX(Data!$C$4:$C$18,MATCH('P 401 A-B Sizing'!$A15,Material,0))</f>
        <v>1.5E-3</v>
      </c>
      <c r="K15" s="201">
        <f>'P 401 A-B Sizing'!$J15/'P 401 A-B Sizing'!$D15</f>
        <v>1.7026655528502625E-2</v>
      </c>
      <c r="L15" s="202" t="str">
        <f>IF('P 401 A-B Sizing'!$I15="LAMINAR",((32*Table628[Viscosity (Pa*s)]*'P 401 A-B Sizing'!$G15*C21)/'P 401 A-B Sizing'!$D15^2),"N/A")</f>
        <v>N/A</v>
      </c>
      <c r="M15" s="203">
        <v>1.3023792864397922E-2</v>
      </c>
      <c r="N15" s="204">
        <f>IF('P 401 A-B Sizing'!$I15="TURBULENT",(((-4*LOG10('P 401 A-B Sizing'!$K15/3.7+1.256/('P 401 A-B Sizing'!$H15*SQRT('P 401 A-B Sizing'!$M$15:$M$18))))^-1)^2),"N/A")</f>
        <v>1.2772517259729688E-2</v>
      </c>
      <c r="O15" s="201">
        <f>'P 401 A-B Sizing'!$M15-'P 401 A-B Sizing'!$N15</f>
        <v>2.5127560466823434E-4</v>
      </c>
    </row>
    <row r="16" spans="1:21" x14ac:dyDescent="0.25">
      <c r="A16" s="23" t="str">
        <f>'Material and Cost Analysis'!N37</f>
        <v>Drawn tubing</v>
      </c>
      <c r="B16" s="129">
        <f>'Material and Cost Analysis'!P37</f>
        <v>2.375</v>
      </c>
      <c r="C16" s="189">
        <f>'Material and Cost Analysis'!M37</f>
        <v>1.5641215870306719</v>
      </c>
      <c r="D16" s="205">
        <f>CONVERT(C16,"in","m")</f>
        <v>3.9728688310579068E-2</v>
      </c>
      <c r="E16" s="206">
        <f>(('P 401 A-B Sizing'!$D16/2)^2)*PI()</f>
        <v>1.2396478584141423E-3</v>
      </c>
      <c r="F16" s="206">
        <f>Table628[Volumetric flow (m3/s)]*1000</f>
        <v>1.0959999999999999</v>
      </c>
      <c r="G16" s="207">
        <f t="shared" ref="G16:G17" si="1">$D$3/E16</f>
        <v>0.88412204527347937</v>
      </c>
      <c r="H16" s="202">
        <f t="shared" ref="H16:H17" si="2">(D16*G16*$B$3)/$C$3</f>
        <v>15902.911730030361</v>
      </c>
      <c r="I16" s="202" t="str">
        <f>IF('P 401 A-B Sizing'!$H16&gt;4000,"TURBULENT",IF('P 401 A-B Sizing'!$H16&lt;=4000,"LAMINAR","-"))</f>
        <v>TURBULENT</v>
      </c>
      <c r="J16" s="207">
        <f>INDEX(Data!$C$4:$C$18,MATCH('P 401 A-B Sizing'!$A16,Material,0))</f>
        <v>1.5E-5</v>
      </c>
      <c r="K16" s="207">
        <f>'P 401 A-B Sizing'!$J16/'P 401 A-B Sizing'!$D16</f>
        <v>3.7756091725801475E-4</v>
      </c>
      <c r="L16" s="202" t="str">
        <f>IF('P 401 A-B Sizing'!$I16="LAMINAR",((32*Table628[Viscosity (Pa*s)]*'P 401 A-B Sizing'!$G16*C22)/'P 401 A-B Sizing'!$D16^2),"N/A")</f>
        <v>N/A</v>
      </c>
      <c r="M16" s="208">
        <v>7.0105651710673789E-3</v>
      </c>
      <c r="N16" s="204">
        <f>IF('P 401 A-B Sizing'!$I16="TURBULENT",(((-4*LOG10('P 401 A-B Sizing'!$K16/3.7+1.256/('P 401 A-B Sizing'!$H16*SQRT('P 401 A-B Sizing'!$M$15:$M$18))))^-1)^2),"N/A")</f>
        <v>7.0344156699313227E-3</v>
      </c>
      <c r="O16" s="207">
        <f>'P 401 A-B Sizing'!$M16-'P 401 A-B Sizing'!$N16</f>
        <v>-2.3850498863943817E-5</v>
      </c>
    </row>
    <row r="17" spans="1:15" x14ac:dyDescent="0.25">
      <c r="A17" s="23" t="str">
        <f>'Material and Cost Analysis'!N38</f>
        <v>Drawn tubing</v>
      </c>
      <c r="B17" s="132">
        <f>'Material and Cost Analysis'!P38</f>
        <v>1.25</v>
      </c>
      <c r="C17" s="189">
        <f>'Material and Cost Analysis'!M38</f>
        <v>1.3306091058978273</v>
      </c>
      <c r="D17" s="199">
        <f>CONVERT(C17,"in","m")</f>
        <v>3.3797471289804815E-2</v>
      </c>
      <c r="E17" s="200">
        <f>(('P 401 A-B Sizing'!$D17/2)^2)*PI()</f>
        <v>8.9713602621632033E-4</v>
      </c>
      <c r="F17" s="200">
        <f>Table628[Volumetric flow (m3/s)]*1000</f>
        <v>1.0959999999999999</v>
      </c>
      <c r="G17" s="201">
        <f t="shared" si="1"/>
        <v>1.2216653528254688</v>
      </c>
      <c r="H17" s="202">
        <f t="shared" si="2"/>
        <v>18693.760190976605</v>
      </c>
      <c r="I17" s="202" t="str">
        <f>IF('P 401 A-B Sizing'!$H17&gt;4000,"TURBULENT",IF('P 401 A-B Sizing'!$H17&lt;=4000,"LAMINAR","-"))</f>
        <v>TURBULENT</v>
      </c>
      <c r="J17" s="201">
        <f>INDEX(Data!$C$4:$C$18,MATCH('P 401 A-B Sizing'!$A17,Material,0))</f>
        <v>1.5E-5</v>
      </c>
      <c r="K17" s="201">
        <f>'P 401 A-B Sizing'!$J17/'P 401 A-B Sizing'!$D17</f>
        <v>4.4382018617247348E-4</v>
      </c>
      <c r="L17" s="202" t="str">
        <f>IF('P 401 A-B Sizing'!$I17="LAMINAR",((32*Table628[Viscosity (Pa*s)]*'P 401 A-B Sizing'!$G17*C23)/'P 401 A-B Sizing'!$D17^2),"N/A")</f>
        <v>N/A</v>
      </c>
      <c r="M17" s="203">
        <v>6.8064789448502496E-3</v>
      </c>
      <c r="N17" s="204">
        <f>IF('P 401 A-B Sizing'!$I17="TURBULENT",(((-4*LOG10('P 401 A-B Sizing'!$K17/3.7+1.256/('P 401 A-B Sizing'!$H17*SQRT('P 401 A-B Sizing'!$M$15:$M$18))))^-1)^2),"N/A")</f>
        <v>6.8098811001238661E-3</v>
      </c>
      <c r="O17" s="201">
        <f>'P 401 A-B Sizing'!$M17-'P 401 A-B Sizing'!$N17</f>
        <v>-3.4021552736164529E-6</v>
      </c>
    </row>
    <row r="18" spans="1:15" x14ac:dyDescent="0.25">
      <c r="A18" s="209"/>
      <c r="B18" s="210"/>
      <c r="C18" s="211"/>
      <c r="D18" s="212"/>
      <c r="E18" s="213"/>
      <c r="F18" s="213"/>
      <c r="G18" s="214"/>
      <c r="H18" s="215"/>
      <c r="I18" s="215"/>
      <c r="J18" s="214"/>
      <c r="K18" s="214"/>
      <c r="L18" s="215"/>
      <c r="M18" s="216"/>
      <c r="N18" s="217"/>
      <c r="O18" s="214"/>
    </row>
    <row r="19" spans="1:15" x14ac:dyDescent="0.25">
      <c r="A19" s="315"/>
      <c r="B19" s="303"/>
      <c r="C19" s="303"/>
      <c r="D19" s="303"/>
      <c r="E19" s="303"/>
      <c r="F19" s="303"/>
      <c r="G19" s="14"/>
      <c r="H19" s="303" t="s">
        <v>21</v>
      </c>
      <c r="I19" s="303"/>
      <c r="J19" s="303"/>
      <c r="K19" s="303"/>
      <c r="L19" s="303"/>
      <c r="M19" s="303"/>
      <c r="N19" s="40"/>
    </row>
    <row r="20" spans="1:15" x14ac:dyDescent="0.25">
      <c r="A20" s="151" t="s">
        <v>29</v>
      </c>
      <c r="B20" s="22" t="s">
        <v>11</v>
      </c>
      <c r="C20" s="22" t="s">
        <v>18</v>
      </c>
      <c r="D20" s="22" t="s">
        <v>19</v>
      </c>
      <c r="E20" s="22" t="s">
        <v>20</v>
      </c>
      <c r="F20" s="22" t="s">
        <v>45</v>
      </c>
      <c r="G20" s="14"/>
      <c r="H20" s="22" t="s">
        <v>10</v>
      </c>
      <c r="I20" s="22" t="s">
        <v>22</v>
      </c>
      <c r="J20" s="22" t="s">
        <v>91</v>
      </c>
      <c r="K20" s="22" t="s">
        <v>23</v>
      </c>
      <c r="L20" s="22" t="s">
        <v>24</v>
      </c>
      <c r="M20" s="22" t="s">
        <v>14</v>
      </c>
      <c r="N20" s="152" t="s">
        <v>45</v>
      </c>
    </row>
    <row r="21" spans="1:15" x14ac:dyDescent="0.25">
      <c r="A21" s="178">
        <v>1</v>
      </c>
      <c r="B21" s="1">
        <f>D15</f>
        <v>8.8097160213818831E-2</v>
      </c>
      <c r="C21" s="3">
        <v>20</v>
      </c>
      <c r="D21" s="3">
        <f>G15</f>
        <v>0.17980296712265303</v>
      </c>
      <c r="E21" s="7">
        <f>IF(I15="TURBULENT",N15,L15)</f>
        <v>1.2772517259729688E-2</v>
      </c>
      <c r="F21" s="3">
        <f>4*Table527[[#This Row],[f ]]*Table527[[#This Row],[Length (m)]]/Table527[[#This Row],[Diameter (m)]]*((Table527[[#This Row],[Velocity]]^2)/2)</f>
        <v>0.18748576048060392</v>
      </c>
      <c r="G21" s="14"/>
      <c r="H21" s="3">
        <f>C15</f>
        <v>3.4683921344023165</v>
      </c>
      <c r="I21" s="3" t="str">
        <f>'Segment 1'!T20</f>
        <v>90° Elbow Curved</v>
      </c>
      <c r="J21" s="3" t="str">
        <f>'Segment 1'!U20</f>
        <v>Standard (R/D = 1)</v>
      </c>
      <c r="K21" s="3">
        <f>'Segment 1'!V20</f>
        <v>2</v>
      </c>
      <c r="L21" s="15">
        <f t="array" ref="L21">INDEX(Data!$G$4:$G$51,MATCH(Table729[[#This Row],[Fittings]]&amp;Table729[[#This Row],[Type]],Fittings&amp;Data!$F$4:$F$51,0))</f>
        <v>0.75</v>
      </c>
      <c r="M21" s="1">
        <f>G15</f>
        <v>0.17980296712265303</v>
      </c>
      <c r="N21" s="153">
        <f>((Table729[[#This Row],[Velocity (m/s)]]^2)/2)*Table729[[#This Row],[Kf]]*Table729[[#This Row],['# of fittings]]</f>
        <v>2.4246830239582386E-2</v>
      </c>
    </row>
    <row r="22" spans="1:15" x14ac:dyDescent="0.25">
      <c r="A22" s="178">
        <v>2</v>
      </c>
      <c r="B22" s="3">
        <f>D16</f>
        <v>3.9728688310579068E-2</v>
      </c>
      <c r="C22" s="3">
        <v>5</v>
      </c>
      <c r="D22" s="3">
        <f>G16</f>
        <v>0.88412204527347937</v>
      </c>
      <c r="E22" s="7">
        <f>IF(I16="TURBULENT",N16,L16)</f>
        <v>7.0344156699313227E-3</v>
      </c>
      <c r="F22" s="3">
        <f>4*Table527[[#This Row],[f ]]*Table527[[#This Row],[Length (m)]]/Table527[[#This Row],[Diameter (m)]]*((Table527[[#This Row],[Velocity]]^2)/2)</f>
        <v>1.3840387208196112</v>
      </c>
      <c r="G22" s="14"/>
      <c r="H22" s="3">
        <f>C16</f>
        <v>1.5641215870306719</v>
      </c>
      <c r="I22" s="3" t="str">
        <f>'Segment 1'!T21</f>
        <v>90° Elbow Curved</v>
      </c>
      <c r="J22" s="3" t="str">
        <f>'Segment 1'!U21</f>
        <v>Standard (R/D = 1)</v>
      </c>
      <c r="K22" s="3">
        <f>'Segment 1'!V21</f>
        <v>1</v>
      </c>
      <c r="L22" s="15">
        <f t="array" ref="L22">INDEX(Data!$G$4:$G$51,MATCH(Table729[[#This Row],[Fittings]]&amp;Table729[[#This Row],[Type]],Fittings&amp;Data!$F$4:$F$51,0))</f>
        <v>0.75</v>
      </c>
      <c r="M22" s="1">
        <f>G16</f>
        <v>0.88412204527347937</v>
      </c>
      <c r="N22" s="153">
        <f>((Table729[[#This Row],[Velocity (m/s)]]^2)/2)*Table729[[#This Row],[Kf]]*Table729[[#This Row],['# of fittings]]</f>
        <v>0.29312692160196013</v>
      </c>
    </row>
    <row r="23" spans="1:15" x14ac:dyDescent="0.25">
      <c r="A23" s="178">
        <v>3</v>
      </c>
      <c r="B23" s="3">
        <f>D17</f>
        <v>3.3797471289804815E-2</v>
      </c>
      <c r="C23" s="3">
        <v>5</v>
      </c>
      <c r="D23" s="3">
        <f>G17</f>
        <v>1.2216653528254688</v>
      </c>
      <c r="E23" s="7">
        <f>IF(I17="TURBULENT",N17,L17)</f>
        <v>6.8098811001238661E-3</v>
      </c>
      <c r="F23" s="3">
        <f>4*Table527[[#This Row],[f ]]*Table527[[#This Row],[Length (m)]]/Table527[[#This Row],[Diameter (m)]]*((Table527[[#This Row],[Velocity]]^2)/2)</f>
        <v>3.0071828493745429</v>
      </c>
      <c r="G23" s="14"/>
      <c r="H23" s="3">
        <f>C17</f>
        <v>1.3306091058978273</v>
      </c>
      <c r="I23" s="3" t="str">
        <f>'Segment 1'!T22</f>
        <v>90° Elbow Curved</v>
      </c>
      <c r="J23" s="3" t="str">
        <f>'Segment 1'!U22</f>
        <v>Standard (R/D = 1)</v>
      </c>
      <c r="K23" s="3">
        <v>3</v>
      </c>
      <c r="L23" s="15">
        <f t="array" ref="L23">INDEX(Data!$G$4:$G$51,MATCH(Table729[[#This Row],[Fittings]]&amp;Table729[[#This Row],[Type]],Fittings&amp;Data!$F$4:$F$51,0))</f>
        <v>0.75</v>
      </c>
      <c r="M23" s="1">
        <f>G17</f>
        <v>1.2216653528254688</v>
      </c>
      <c r="N23" s="153">
        <f>((Table729[[#This Row],[Velocity (m/s)]]^2)/2)*Table729[[#This Row],[Kf]]*Table729[[#This Row],['# of fittings]]</f>
        <v>1.6790245135809494</v>
      </c>
    </row>
    <row r="24" spans="1:15" x14ac:dyDescent="0.25">
      <c r="A24" s="185"/>
      <c r="B24" s="161"/>
      <c r="C24" s="14"/>
      <c r="D24" s="14"/>
      <c r="E24" s="16"/>
      <c r="F24" s="186"/>
      <c r="G24" s="14"/>
      <c r="H24" s="14"/>
      <c r="I24" s="14"/>
      <c r="J24" s="14"/>
      <c r="K24" s="14"/>
      <c r="L24" s="14"/>
      <c r="M24" s="14"/>
      <c r="N24" s="24"/>
    </row>
    <row r="25" spans="1:15" x14ac:dyDescent="0.25">
      <c r="A25" s="315"/>
      <c r="B25" s="303"/>
      <c r="C25" s="303"/>
      <c r="D25" s="303"/>
      <c r="E25" s="303"/>
      <c r="F25" s="303"/>
      <c r="G25" s="14"/>
      <c r="H25" s="303" t="s">
        <v>27</v>
      </c>
      <c r="I25" s="303"/>
      <c r="J25" s="303"/>
      <c r="K25" s="303"/>
      <c r="L25" s="303"/>
      <c r="M25" s="303"/>
      <c r="N25" s="24"/>
    </row>
    <row r="26" spans="1:15" x14ac:dyDescent="0.25">
      <c r="A26" s="151" t="s">
        <v>29</v>
      </c>
      <c r="B26" s="22" t="s">
        <v>10</v>
      </c>
      <c r="C26" s="22" t="s">
        <v>11</v>
      </c>
      <c r="D26" s="22" t="s">
        <v>26</v>
      </c>
      <c r="E26" s="22" t="s">
        <v>14</v>
      </c>
      <c r="F26" s="22" t="s">
        <v>93</v>
      </c>
      <c r="G26" s="14"/>
      <c r="H26" s="22" t="s">
        <v>29</v>
      </c>
      <c r="I26" s="22" t="s">
        <v>10</v>
      </c>
      <c r="J26" s="22" t="s">
        <v>11</v>
      </c>
      <c r="K26" s="22" t="s">
        <v>28</v>
      </c>
      <c r="L26" s="22" t="s">
        <v>14</v>
      </c>
      <c r="M26" s="22" t="s">
        <v>93</v>
      </c>
      <c r="N26" s="24"/>
    </row>
    <row r="27" spans="1:15" x14ac:dyDescent="0.25">
      <c r="A27" s="25">
        <v>1</v>
      </c>
      <c r="B27" s="3">
        <f t="shared" ref="B27:C29" si="3">C15</f>
        <v>3.4683921344023165</v>
      </c>
      <c r="C27" s="3">
        <f t="shared" si="3"/>
        <v>8.8097160213818831E-2</v>
      </c>
      <c r="D27" s="3">
        <v>0.55000000000000004</v>
      </c>
      <c r="E27" s="3" t="s">
        <v>30</v>
      </c>
      <c r="F27" s="3">
        <f>IF(Table830[[#This Row],[Velocity (m/s)]]="N/A",0,(Table830[[#This Row],[Velocity (m/s)]]^2)/2*Table830[[#This Row],[Kc]])</f>
        <v>0</v>
      </c>
      <c r="G27" s="14"/>
      <c r="H27" s="3">
        <v>1</v>
      </c>
      <c r="I27" s="3">
        <f t="shared" ref="I27:J29" si="4">A21</f>
        <v>1</v>
      </c>
      <c r="J27" s="3">
        <f t="shared" si="4"/>
        <v>8.8097160213818831E-2</v>
      </c>
      <c r="K27" s="3">
        <v>1</v>
      </c>
      <c r="L27" s="3">
        <f>G15</f>
        <v>0.17980296712265303</v>
      </c>
      <c r="M27" s="3">
        <f>IF(Table81031[[#This Row],[Velocity (m/s)]]="N/A",0,(Table81031[[#This Row],[Velocity (m/s)]]^2)/2*Table81031[[#This Row],[Ke]])</f>
        <v>1.6164553493054925E-2</v>
      </c>
      <c r="N27" s="24"/>
    </row>
    <row r="28" spans="1:15" x14ac:dyDescent="0.25">
      <c r="A28" s="25">
        <v>2</v>
      </c>
      <c r="B28" s="3">
        <f t="shared" si="3"/>
        <v>1.5641215870306719</v>
      </c>
      <c r="C28" s="3">
        <f t="shared" si="3"/>
        <v>3.9728688310579068E-2</v>
      </c>
      <c r="D28" s="3">
        <v>0.55000000000000004</v>
      </c>
      <c r="E28" s="3">
        <f>G16</f>
        <v>0.88412204527347937</v>
      </c>
      <c r="F28" s="3">
        <f>IF(Table830[[#This Row],[Velocity (m/s)]]="N/A",0,(Table830[[#This Row],[Velocity (m/s)]]^2)/2*Table830[[#This Row],[Kc]])</f>
        <v>0.2149597425081041</v>
      </c>
      <c r="G28" s="14"/>
      <c r="H28" s="3">
        <v>2</v>
      </c>
      <c r="I28" s="3">
        <f t="shared" si="4"/>
        <v>2</v>
      </c>
      <c r="J28" s="3">
        <f t="shared" si="4"/>
        <v>3.9728688310579068E-2</v>
      </c>
      <c r="K28" s="3">
        <v>1</v>
      </c>
      <c r="L28" s="3" t="s">
        <v>30</v>
      </c>
      <c r="M28" s="3">
        <f>IF(Table81031[[#This Row],[Velocity (m/s)]]="N/A",0,(Table81031[[#This Row],[Velocity (m/s)]]^2)/2*Table81031[[#This Row],[Ke]])</f>
        <v>0</v>
      </c>
      <c r="N28" s="24"/>
    </row>
    <row r="29" spans="1:15" ht="15.75" thickBot="1" x14ac:dyDescent="0.3">
      <c r="A29" s="25">
        <v>3</v>
      </c>
      <c r="B29" s="3">
        <f t="shared" si="3"/>
        <v>1.3306091058978273</v>
      </c>
      <c r="C29" s="3">
        <f t="shared" si="3"/>
        <v>3.3797471289804815E-2</v>
      </c>
      <c r="D29" s="3">
        <v>0.55000000000000004</v>
      </c>
      <c r="E29" s="3" t="s">
        <v>30</v>
      </c>
      <c r="F29" s="3">
        <f>IF(Table830[[#This Row],[Velocity (m/s)]]="N/A",0,(Table830[[#This Row],[Velocity (m/s)]]^2)/2*Table830[[#This Row],[Kc]])</f>
        <v>0</v>
      </c>
      <c r="G29" s="28"/>
      <c r="H29" s="3">
        <v>3</v>
      </c>
      <c r="I29" s="3">
        <f t="shared" si="4"/>
        <v>3</v>
      </c>
      <c r="J29" s="3">
        <f t="shared" si="4"/>
        <v>3.3797471289804815E-2</v>
      </c>
      <c r="K29" s="3">
        <v>1</v>
      </c>
      <c r="L29" s="3" t="s">
        <v>30</v>
      </c>
      <c r="M29" s="3">
        <f>IF(Table81031[[#This Row],[Velocity (m/s)]]="N/A",0,(Table81031[[#This Row],[Velocity (m/s)]]^2)/2*Table81031[[#This Row],[Ke]])</f>
        <v>0</v>
      </c>
      <c r="N29" s="29"/>
    </row>
    <row r="30" spans="1:15" x14ac:dyDescent="0.25">
      <c r="A30" s="15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24"/>
    </row>
    <row r="31" spans="1:15" ht="15.75" thickBot="1" x14ac:dyDescent="0.3">
      <c r="A31" s="155"/>
      <c r="B31" s="28"/>
      <c r="C31" s="28"/>
      <c r="D31" s="28"/>
      <c r="E31" s="28"/>
      <c r="F31" s="28"/>
      <c r="G31" s="156"/>
      <c r="H31" s="156"/>
      <c r="I31" s="156"/>
      <c r="J31" s="28"/>
      <c r="K31" s="28"/>
      <c r="L31" s="28"/>
      <c r="M31" s="28"/>
      <c r="N31" s="29"/>
    </row>
    <row r="32" spans="1:15" ht="15.75" x14ac:dyDescent="0.25">
      <c r="A32" s="311" t="s">
        <v>131</v>
      </c>
      <c r="B32" s="305"/>
      <c r="C32" s="305"/>
      <c r="D32" s="305"/>
      <c r="E32" s="305"/>
      <c r="F32" s="305"/>
      <c r="G32" s="305"/>
      <c r="H32" s="306"/>
    </row>
    <row r="33" spans="1:8" x14ac:dyDescent="0.25">
      <c r="A33" s="159" t="s">
        <v>29</v>
      </c>
      <c r="B33" s="34" t="s">
        <v>139</v>
      </c>
      <c r="C33" s="34" t="s">
        <v>140</v>
      </c>
      <c r="D33" s="34" t="s">
        <v>138</v>
      </c>
      <c r="E33" s="34" t="s">
        <v>137</v>
      </c>
      <c r="F33" s="34" t="s">
        <v>132</v>
      </c>
      <c r="G33" s="34" t="s">
        <v>133</v>
      </c>
      <c r="H33" s="39" t="s">
        <v>136</v>
      </c>
    </row>
    <row r="34" spans="1:8" x14ac:dyDescent="0.25">
      <c r="A34" s="25">
        <v>1</v>
      </c>
      <c r="B34" s="3">
        <f>C27</f>
        <v>8.8097160213818831E-2</v>
      </c>
      <c r="C34" s="3">
        <f>Table1533[[#This Row],[D1 (m)]]</f>
        <v>8.8097160213818831E-2</v>
      </c>
      <c r="D34" s="3">
        <f>G15</f>
        <v>0.17980296712265303</v>
      </c>
      <c r="E34" s="3">
        <f>Table1533[[#This Row],[V1 (m/s)]]</f>
        <v>0.17980296712265303</v>
      </c>
      <c r="F34" s="7">
        <f>H15</f>
        <v>7171.6480056745831</v>
      </c>
      <c r="G34" s="7">
        <f>Table1533[[#This Row],[Re1]]</f>
        <v>7171.6480056745831</v>
      </c>
      <c r="H34" s="40">
        <f>(Table1533[[#This Row],[V1 (m/s)]]^2-Table1533[[#This Row],[V2 (m/s)]]^2)</f>
        <v>0</v>
      </c>
    </row>
    <row r="35" spans="1:8" x14ac:dyDescent="0.25">
      <c r="A35" s="25">
        <v>2</v>
      </c>
      <c r="B35" s="3">
        <f>C28</f>
        <v>3.9728688310579068E-2</v>
      </c>
      <c r="C35" s="3">
        <f>Table1533[[#This Row],[D1 (m)]]</f>
        <v>3.9728688310579068E-2</v>
      </c>
      <c r="D35" s="3">
        <f>G16</f>
        <v>0.88412204527347937</v>
      </c>
      <c r="E35" s="3">
        <f>Table1533[[#This Row],[V1 (m/s)]]</f>
        <v>0.88412204527347937</v>
      </c>
      <c r="F35" s="7">
        <f>H16</f>
        <v>15902.911730030361</v>
      </c>
      <c r="G35" s="7">
        <f>Table1533[[#This Row],[Re1]]</f>
        <v>15902.911730030361</v>
      </c>
      <c r="H35" s="40">
        <f>(Table1533[[#This Row],[V1 (m/s)]]^2-Table1533[[#This Row],[V2 (m/s)]]^2)</f>
        <v>0</v>
      </c>
    </row>
    <row r="36" spans="1:8" ht="15.75" thickBot="1" x14ac:dyDescent="0.3">
      <c r="A36" s="26">
        <v>3</v>
      </c>
      <c r="B36" s="27">
        <f>C29</f>
        <v>3.3797471289804815E-2</v>
      </c>
      <c r="C36" s="27">
        <f>Table1533[[#This Row],[D1 (m)]]</f>
        <v>3.3797471289804815E-2</v>
      </c>
      <c r="D36" s="27">
        <f>G17</f>
        <v>1.2216653528254688</v>
      </c>
      <c r="E36" s="27">
        <f>Table1533[[#This Row],[V1 (m/s)]]</f>
        <v>1.2216653528254688</v>
      </c>
      <c r="F36" s="42">
        <f>H17</f>
        <v>18693.760190976605</v>
      </c>
      <c r="G36" s="42">
        <f>Table1533[[#This Row],[Re1]]</f>
        <v>18693.760190976605</v>
      </c>
      <c r="H36" s="41">
        <f>(Table1533[[#This Row],[V1 (m/s)]]^2-Table1533[[#This Row],[V2 (m/s)]]^2)</f>
        <v>0</v>
      </c>
    </row>
    <row r="37" spans="1:8" ht="15.75" thickBot="1" x14ac:dyDescent="0.3"/>
    <row r="38" spans="1:8" ht="15.75" x14ac:dyDescent="0.25">
      <c r="A38" s="312" t="s">
        <v>134</v>
      </c>
      <c r="B38" s="297"/>
      <c r="C38" s="297"/>
      <c r="D38" s="298"/>
    </row>
    <row r="39" spans="1:8" x14ac:dyDescent="0.25">
      <c r="A39" s="159" t="s">
        <v>29</v>
      </c>
      <c r="B39" s="34" t="s">
        <v>141</v>
      </c>
      <c r="C39" s="34" t="s">
        <v>142</v>
      </c>
      <c r="D39" s="39" t="s">
        <v>144</v>
      </c>
    </row>
    <row r="40" spans="1:8" x14ac:dyDescent="0.25">
      <c r="A40" s="25">
        <v>1</v>
      </c>
      <c r="B40" s="3">
        <v>5</v>
      </c>
      <c r="C40" s="3">
        <v>5</v>
      </c>
      <c r="D40" s="40">
        <f>(Table1634[[#This Row],[Z2 (m)]]-Table1634[[#This Row],[Z1 (m)]])*9.807</f>
        <v>0</v>
      </c>
    </row>
    <row r="41" spans="1:8" x14ac:dyDescent="0.25">
      <c r="A41" s="25">
        <v>2</v>
      </c>
      <c r="B41" s="3">
        <v>5</v>
      </c>
      <c r="C41" s="3">
        <v>5</v>
      </c>
      <c r="D41" s="40">
        <f>(Table1634[[#This Row],[Z2 (m)]]-Table1634[[#This Row],[Z1 (m)]])*9.807</f>
        <v>0</v>
      </c>
    </row>
    <row r="42" spans="1:8" ht="15.75" thickBot="1" x14ac:dyDescent="0.3">
      <c r="A42" s="26">
        <v>3</v>
      </c>
      <c r="B42" s="27">
        <v>5</v>
      </c>
      <c r="C42" s="27">
        <v>10</v>
      </c>
      <c r="D42" s="41">
        <f>(Table1634[[#This Row],[Z2 (m)]]-Table1634[[#This Row],[Z1 (m)]])*9.807</f>
        <v>49.035000000000004</v>
      </c>
    </row>
    <row r="43" spans="1:8" ht="15.75" thickBot="1" x14ac:dyDescent="0.3"/>
    <row r="44" spans="1:8" ht="15.75" x14ac:dyDescent="0.25">
      <c r="A44" s="312" t="s">
        <v>135</v>
      </c>
      <c r="B44" s="297"/>
      <c r="C44" s="297"/>
      <c r="D44" s="298"/>
    </row>
    <row r="45" spans="1:8" x14ac:dyDescent="0.25">
      <c r="A45" s="159" t="s">
        <v>29</v>
      </c>
      <c r="B45" s="34" t="s">
        <v>6</v>
      </c>
      <c r="C45" s="34" t="s">
        <v>7</v>
      </c>
      <c r="D45" s="39" t="s">
        <v>145</v>
      </c>
    </row>
    <row r="46" spans="1:8" x14ac:dyDescent="0.25">
      <c r="A46" s="25">
        <v>1</v>
      </c>
      <c r="B46" s="3">
        <v>101.325</v>
      </c>
      <c r="C46" s="45">
        <f>S6</f>
        <v>101.14614632122145</v>
      </c>
      <c r="D46" s="40">
        <f>(1000*Table1735[[#This Row],[P1 (kPa)]]-1000*Table1735[[#This Row],[P2 (kPa)]])/Table628[Density (kg/m3)]</f>
        <v>0.22789714421324678</v>
      </c>
    </row>
    <row r="47" spans="1:8" x14ac:dyDescent="0.25">
      <c r="A47" s="25">
        <v>2</v>
      </c>
      <c r="B47" s="3">
        <v>101.325</v>
      </c>
      <c r="C47" s="45">
        <f t="shared" ref="C47:C48" si="5">S7</f>
        <v>99.661206319128638</v>
      </c>
      <c r="D47" s="40">
        <f>(1000*Table1735[[#This Row],[P1 (kPa)]]-1000*Table1735[[#This Row],[P2 (kPa)]])/Table628[Density (kg/m3)]</f>
        <v>2.1200225291429113</v>
      </c>
    </row>
    <row r="48" spans="1:8" ht="15.75" thickBot="1" x14ac:dyDescent="0.3">
      <c r="A48" s="26">
        <v>3</v>
      </c>
      <c r="B48" s="218">
        <f>135+C47</f>
        <v>234.66120631912864</v>
      </c>
      <c r="C48" s="45">
        <f t="shared" si="5"/>
        <v>235.13295595114201</v>
      </c>
      <c r="D48" s="41">
        <f>(1000*Table1735[[#This Row],[P1 (kPa)]]-1000*Table1735[[#This Row],[P2 (kPa)]])/Table628[Density (kg/m3)]</f>
        <v>-0.60110809379890373</v>
      </c>
    </row>
    <row r="49" spans="1:7" ht="15.75" thickBot="1" x14ac:dyDescent="0.3"/>
    <row r="50" spans="1:7" ht="15.75" x14ac:dyDescent="0.25">
      <c r="A50" s="309" t="s">
        <v>219</v>
      </c>
      <c r="B50" s="310"/>
      <c r="C50" s="310"/>
      <c r="D50" s="310"/>
      <c r="E50" s="310"/>
      <c r="F50" s="310"/>
      <c r="G50" s="296"/>
    </row>
    <row r="51" spans="1:7" x14ac:dyDescent="0.25">
      <c r="A51" s="66" t="s">
        <v>222</v>
      </c>
      <c r="B51" s="34" t="s">
        <v>220</v>
      </c>
      <c r="C51" s="34" t="s">
        <v>221</v>
      </c>
      <c r="D51" s="39" t="s">
        <v>223</v>
      </c>
      <c r="E51" s="159" t="s">
        <v>224</v>
      </c>
      <c r="F51" s="34" t="s">
        <v>231</v>
      </c>
      <c r="G51" s="179" t="s">
        <v>225</v>
      </c>
    </row>
    <row r="52" spans="1:7" x14ac:dyDescent="0.25">
      <c r="A52" s="181">
        <f>D47+D48+D46</f>
        <v>1.7468115795572543</v>
      </c>
      <c r="B52" s="5">
        <f>D42+D41+D40</f>
        <v>49.035000000000004</v>
      </c>
      <c r="C52" s="182">
        <f>H34+H35+H36</f>
        <v>0</v>
      </c>
      <c r="D52" s="183">
        <f>B9+B10+B8</f>
        <v>6.8062298920984095</v>
      </c>
      <c r="E52" s="180">
        <f>(Table35[Hp]+Table35[Hh]+Table35[Hv]+Table35[Hf])*Table628[Mass flow (kg/s)]/1000</f>
        <v>4.9533824061863081E-2</v>
      </c>
      <c r="F52" s="182">
        <v>0.85</v>
      </c>
      <c r="G52" s="160">
        <f>((Table35[Ws (kW)]*1+(1-Table35[Efficiency]))^0.4)*630</f>
        <v>330.6337324610256</v>
      </c>
    </row>
  </sheetData>
  <mergeCells count="10">
    <mergeCell ref="A50:G50"/>
    <mergeCell ref="A32:H32"/>
    <mergeCell ref="A38:D38"/>
    <mergeCell ref="A44:D44"/>
    <mergeCell ref="A5:N5"/>
    <mergeCell ref="A6:B6"/>
    <mergeCell ref="A19:F19"/>
    <mergeCell ref="H19:M19"/>
    <mergeCell ref="A25:F25"/>
    <mergeCell ref="H25:M25"/>
  </mergeCells>
  <dataValidations count="2">
    <dataValidation type="list" allowBlank="1" showInputMessage="1" showErrorMessage="1" sqref="A15:A18" xr:uid="{00000000-0002-0000-0500-000000000000}">
      <formula1>Material</formula1>
    </dataValidation>
    <dataValidation type="list" allowBlank="1" showInputMessage="1" showErrorMessage="1" sqref="I21:I23" xr:uid="{00000000-0002-0000-0500-000001000000}">
      <formula1>Fitting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5" r:id="rId3" name="Pump_Sizing_FrictionFactor">
          <controlPr defaultSize="0" autoLine="0" r:id="rId4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13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3315" r:id="rId3" name="Pump_Sizing_FrictionFactor"/>
      </mc:Fallback>
    </mc:AlternateContent>
  </controls>
  <tableParts count="11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2000000}">
          <x14:formula1>
            <xm:f>INDIRECT(INDEX(Data!$J$4:$J$24,MATCH($S$21,Fitting,0)))</xm:f>
          </x14:formula1>
          <xm:sqref>J21:J23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2:AH60"/>
  <sheetViews>
    <sheetView topLeftCell="Z1" workbookViewId="0">
      <selection activeCell="AB19" sqref="AB19"/>
    </sheetView>
  </sheetViews>
  <sheetFormatPr defaultRowHeight="15" x14ac:dyDescent="0.25"/>
  <cols>
    <col min="3" max="3" width="24.28515625" bestFit="1" customWidth="1"/>
    <col min="4" max="4" width="18.140625" bestFit="1" customWidth="1"/>
    <col min="5" max="5" width="20.28515625" bestFit="1" customWidth="1"/>
    <col min="6" max="6" width="11.140625" customWidth="1"/>
    <col min="7" max="7" width="15.85546875" bestFit="1" customWidth="1"/>
    <col min="8" max="8" width="6" customWidth="1"/>
    <col min="9" max="9" width="21" customWidth="1"/>
    <col min="10" max="10" width="23.28515625" customWidth="1"/>
    <col min="11" max="11" width="21" customWidth="1"/>
    <col min="12" max="12" width="23.28515625" customWidth="1"/>
    <col min="13" max="13" width="21" customWidth="1"/>
    <col min="14" max="14" width="23.28515625" customWidth="1"/>
    <col min="15" max="15" width="21" customWidth="1"/>
    <col min="16" max="16" width="23.28515625" customWidth="1"/>
    <col min="17" max="17" width="21" bestFit="1" customWidth="1"/>
    <col min="18" max="18" width="23.28515625" customWidth="1"/>
    <col min="19" max="19" width="21" bestFit="1" customWidth="1"/>
    <col min="20" max="20" width="23.28515625" customWidth="1"/>
    <col min="21" max="21" width="21" bestFit="1" customWidth="1"/>
    <col min="22" max="22" width="23.28515625" customWidth="1"/>
    <col min="23" max="23" width="21" bestFit="1" customWidth="1"/>
    <col min="24" max="24" width="23.28515625" customWidth="1"/>
    <col min="25" max="25" width="21" bestFit="1" customWidth="1"/>
    <col min="26" max="26" width="23.28515625" customWidth="1"/>
    <col min="27" max="27" width="21" bestFit="1" customWidth="1"/>
    <col min="28" max="28" width="23.28515625" customWidth="1"/>
    <col min="29" max="29" width="21" bestFit="1" customWidth="1"/>
    <col min="30" max="30" width="23.28515625" customWidth="1"/>
    <col min="31" max="31" width="21" bestFit="1" customWidth="1"/>
    <col min="32" max="32" width="23.28515625" customWidth="1"/>
    <col min="33" max="33" width="26.140625" bestFit="1" customWidth="1"/>
    <col min="34" max="34" width="28.28515625" bestFit="1" customWidth="1"/>
  </cols>
  <sheetData>
    <row r="2" spans="3:34" ht="15.75" thickBot="1" x14ac:dyDescent="0.3">
      <c r="E2" s="2"/>
      <c r="F2" s="2"/>
      <c r="G2" s="2"/>
      <c r="H2" s="2"/>
    </row>
    <row r="3" spans="3:34" x14ac:dyDescent="0.25">
      <c r="C3" s="240" t="s">
        <v>233</v>
      </c>
      <c r="D3" s="241">
        <f>(0.15*(1.15^10))/((1.15^10)-1)</f>
        <v>0.19925206251758487</v>
      </c>
      <c r="E3" s="102"/>
      <c r="F3" s="102"/>
      <c r="G3" s="102"/>
      <c r="H3" s="2"/>
    </row>
    <row r="4" spans="3:34" ht="15.75" thickBot="1" x14ac:dyDescent="0.3">
      <c r="C4" s="242" t="s">
        <v>230</v>
      </c>
      <c r="D4" s="243">
        <v>0.85</v>
      </c>
      <c r="E4" s="102"/>
      <c r="F4" s="102"/>
      <c r="G4" s="102"/>
      <c r="H4" s="2"/>
    </row>
    <row r="5" spans="3:34" ht="15.75" thickBot="1" x14ac:dyDescent="0.3">
      <c r="C5" s="102"/>
      <c r="D5" s="102"/>
      <c r="E5" s="102"/>
      <c r="F5" s="102"/>
      <c r="G5" s="102"/>
      <c r="H5" s="2"/>
    </row>
    <row r="6" spans="3:34" ht="15.75" x14ac:dyDescent="0.25">
      <c r="C6" s="316" t="s">
        <v>226</v>
      </c>
      <c r="D6" s="317"/>
      <c r="E6" s="244" t="s">
        <v>227</v>
      </c>
      <c r="F6" s="102"/>
      <c r="G6" s="102"/>
      <c r="H6" s="14"/>
    </row>
    <row r="7" spans="3:34" x14ac:dyDescent="0.25">
      <c r="C7" s="245" t="s">
        <v>235</v>
      </c>
      <c r="D7" s="246" t="s">
        <v>234</v>
      </c>
      <c r="E7" s="247" t="s">
        <v>228</v>
      </c>
      <c r="F7" s="248" t="s">
        <v>229</v>
      </c>
      <c r="G7" s="248" t="s">
        <v>232</v>
      </c>
      <c r="H7" s="14"/>
    </row>
    <row r="8" spans="3:34" x14ac:dyDescent="0.25">
      <c r="C8" s="249">
        <f>Table35[Cost ($)]</f>
        <v>330.6337324610256</v>
      </c>
      <c r="D8" s="250">
        <f>Table10[[#Totals],[Total Cost $]]</f>
        <v>440.625</v>
      </c>
      <c r="E8" s="251">
        <f>24*365*Table35[Ws (kW)]*(1+(1-D4))*0.06</f>
        <v>29.940224615952516</v>
      </c>
      <c r="F8" s="252">
        <f>Table36[Pump 401 - A/B Cost ($)]+Table36[Piping Cost ($)]</f>
        <v>771.2587324610256</v>
      </c>
      <c r="G8" s="252">
        <f>Table36[CAP]*D3+Table36[Pump 401 - A/B2]</f>
        <v>183.61511779351008</v>
      </c>
      <c r="H8" s="14"/>
    </row>
    <row r="9" spans="3:34" x14ac:dyDescent="0.25">
      <c r="H9" s="14"/>
    </row>
    <row r="10" spans="3:34" x14ac:dyDescent="0.25">
      <c r="H10" s="14"/>
    </row>
    <row r="11" spans="3:34" ht="27.75" customHeight="1" thickBot="1" x14ac:dyDescent="0.3">
      <c r="C11" s="226" t="s">
        <v>29</v>
      </c>
      <c r="D11" s="226" t="s">
        <v>39</v>
      </c>
      <c r="E11" s="226" t="s">
        <v>238</v>
      </c>
      <c r="F11" s="226" t="s">
        <v>236</v>
      </c>
      <c r="G11" s="226" t="s">
        <v>237</v>
      </c>
      <c r="H11" s="70"/>
      <c r="I11" s="232" t="s">
        <v>39</v>
      </c>
      <c r="J11" s="233" t="s">
        <v>239</v>
      </c>
      <c r="K11" s="234" t="s">
        <v>232</v>
      </c>
    </row>
    <row r="12" spans="3:34" x14ac:dyDescent="0.25">
      <c r="C12" s="126">
        <v>1</v>
      </c>
      <c r="D12" s="126" t="s">
        <v>40</v>
      </c>
      <c r="E12" s="191">
        <f>INDEX('Material and Cost Analysis'!D5:D19,MATCH(EAOC!D12,'Material and Cost Analysis'!C5:C19,0))</f>
        <v>3.7038408542855552</v>
      </c>
      <c r="F12" s="227">
        <f>EAOC!$E12*5</f>
        <v>18.519204271427775</v>
      </c>
      <c r="G12" s="227">
        <f>20*EAOC!$F12</f>
        <v>370.38408542855552</v>
      </c>
      <c r="H12" s="194"/>
      <c r="I12" s="162" t="s">
        <v>40</v>
      </c>
      <c r="J12" s="235">
        <v>297.91000000000003</v>
      </c>
      <c r="K12" s="236">
        <f>Table36[CAP]*$D$3+$D$4*Table36[Pump 401 - A/B2]</f>
        <v>179.12408410111718</v>
      </c>
    </row>
    <row r="13" spans="3:34" x14ac:dyDescent="0.25">
      <c r="C13" s="129">
        <v>1</v>
      </c>
      <c r="D13" s="129" t="s">
        <v>41</v>
      </c>
      <c r="E13" s="190">
        <f>INDEX('Material and Cost Analysis'!D6:D20,MATCH(EAOC!D13,'Material and Cost Analysis'!C6:C20,0))</f>
        <v>3.7038408542855552</v>
      </c>
      <c r="F13" s="228">
        <f>EAOC!$E13*5</f>
        <v>18.519204271427775</v>
      </c>
      <c r="G13" s="228">
        <f>20*EAOC!$F13</f>
        <v>370.38408542855552</v>
      </c>
      <c r="H13" s="194"/>
      <c r="I13" s="163" t="s">
        <v>41</v>
      </c>
      <c r="J13" s="235">
        <v>297.91000000000003</v>
      </c>
      <c r="K13" s="237">
        <f>Table36[CAP]*$D$3+$D$4*Table36[Pump 401 - A/B2]</f>
        <v>179.12408410111718</v>
      </c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</row>
    <row r="14" spans="3:34" x14ac:dyDescent="0.25">
      <c r="C14" s="132">
        <v>1</v>
      </c>
      <c r="D14" s="132" t="s">
        <v>42</v>
      </c>
      <c r="E14" s="189">
        <f>INDEX('Material and Cost Analysis'!D7:D21,MATCH(EAOC!D14,'Material and Cost Analysis'!C7:C21,0))</f>
        <v>3.7038408542855552</v>
      </c>
      <c r="F14" s="229">
        <f>EAOC!$E14*5</f>
        <v>18.519204271427775</v>
      </c>
      <c r="G14" s="229">
        <f>20*EAOC!$F14</f>
        <v>370.38408542855552</v>
      </c>
      <c r="H14" s="194"/>
      <c r="I14" s="162" t="s">
        <v>42</v>
      </c>
      <c r="J14" s="235">
        <v>297.91000000000003</v>
      </c>
      <c r="K14" s="237">
        <f>Table36[CAP]*$D$3+$D$4*Table36[Pump 401 - A/B2]</f>
        <v>179.12408410111718</v>
      </c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</row>
    <row r="15" spans="3:34" x14ac:dyDescent="0.25">
      <c r="C15" s="129">
        <v>1</v>
      </c>
      <c r="D15" s="129" t="s">
        <v>43</v>
      </c>
      <c r="E15" s="190">
        <f>INDEX('Material and Cost Analysis'!D8:D22,MATCH(EAOC!D15,'Material and Cost Analysis'!C8:C22,0))</f>
        <v>3.7038408542855552</v>
      </c>
      <c r="F15" s="228">
        <f>EAOC!$E15*5</f>
        <v>18.519204271427775</v>
      </c>
      <c r="G15" s="228">
        <f>20*EAOC!$F15</f>
        <v>370.38408542855552</v>
      </c>
      <c r="H15" s="194"/>
      <c r="I15" s="163" t="s">
        <v>43</v>
      </c>
      <c r="J15" s="235">
        <v>297.91000000000003</v>
      </c>
      <c r="K15" s="237">
        <f>Table36[CAP]*$D$3+$D$4*Table36[Pump 401 - A/B2]</f>
        <v>179.12408410111718</v>
      </c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</row>
    <row r="16" spans="3:34" x14ac:dyDescent="0.25">
      <c r="C16" s="132">
        <v>1</v>
      </c>
      <c r="D16" s="132" t="s">
        <v>44</v>
      </c>
      <c r="E16" s="189">
        <f>INDEX('Material and Cost Analysis'!D9:D23,MATCH(EAOC!D16,'Material and Cost Analysis'!C9:C23,0))</f>
        <v>3.7038408542855552</v>
      </c>
      <c r="F16" s="229">
        <f>EAOC!$E16*5</f>
        <v>18.519204271427775</v>
      </c>
      <c r="G16" s="229">
        <f>20*EAOC!$F16</f>
        <v>370.38408542855552</v>
      </c>
      <c r="H16" s="194"/>
      <c r="I16" s="162" t="s">
        <v>44</v>
      </c>
      <c r="J16" s="235">
        <v>297.91000000000003</v>
      </c>
      <c r="K16" s="237">
        <f>Table36[CAP]*$D$3+$D$4*Table36[Pump 401 - A/B2]</f>
        <v>179.12408410111718</v>
      </c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</row>
    <row r="17" spans="3:11" x14ac:dyDescent="0.25">
      <c r="C17" s="129">
        <v>1</v>
      </c>
      <c r="D17" s="129" t="s">
        <v>119</v>
      </c>
      <c r="E17" s="190">
        <f>INDEX('Material and Cost Analysis'!D10:D24,MATCH(EAOC!D17,'Material and Cost Analysis'!C10:C24,0))</f>
        <v>3.7038408542855552</v>
      </c>
      <c r="F17" s="228">
        <f>EAOC!$E17*5</f>
        <v>18.519204271427775</v>
      </c>
      <c r="G17" s="228">
        <f>20*EAOC!$F17</f>
        <v>370.38408542855552</v>
      </c>
      <c r="H17" s="194"/>
      <c r="I17" s="163" t="s">
        <v>119</v>
      </c>
      <c r="J17" s="235">
        <v>297.91000000000003</v>
      </c>
      <c r="K17" s="236">
        <f>Table36[CAP]*$D$3+$D$4*Table36[Pump 401 - A/B2]</f>
        <v>179.12408410111718</v>
      </c>
    </row>
    <row r="18" spans="3:11" x14ac:dyDescent="0.25">
      <c r="C18" s="132">
        <v>1</v>
      </c>
      <c r="D18" s="132" t="s">
        <v>118</v>
      </c>
      <c r="E18" s="189">
        <f>INDEX('Material and Cost Analysis'!D11:D25,MATCH(EAOC!D18,'Material and Cost Analysis'!C11:C25,0))</f>
        <v>3.549793518831005</v>
      </c>
      <c r="F18" s="229">
        <f>EAOC!$E18*5</f>
        <v>17.748967594155026</v>
      </c>
      <c r="G18" s="229">
        <f>20*EAOC!$F18</f>
        <v>354.97935188310055</v>
      </c>
      <c r="H18" s="194"/>
      <c r="I18" s="162" t="s">
        <v>118</v>
      </c>
      <c r="J18" s="235">
        <v>297.02</v>
      </c>
      <c r="K18" s="236">
        <f>Table36[CAP]*$D$3+$D$4*Table36[Pump 401 - A/B2]</f>
        <v>179.12408410111718</v>
      </c>
    </row>
    <row r="19" spans="3:11" x14ac:dyDescent="0.25">
      <c r="C19" s="129">
        <v>1</v>
      </c>
      <c r="D19" s="129" t="s">
        <v>121</v>
      </c>
      <c r="E19" s="190">
        <f>INDEX('Material and Cost Analysis'!D12:D26,MATCH(EAOC!D19,'Material and Cost Analysis'!C12:C26,0))</f>
        <v>3.4683921344023165</v>
      </c>
      <c r="F19" s="228">
        <f>EAOC!$E19*5</f>
        <v>17.341960672011581</v>
      </c>
      <c r="G19" s="228">
        <f>20*EAOC!$F19</f>
        <v>346.83921344023162</v>
      </c>
      <c r="H19" s="194"/>
      <c r="I19" s="163" t="s">
        <v>121</v>
      </c>
      <c r="J19" s="235">
        <v>297</v>
      </c>
      <c r="K19" s="236">
        <f>Table36[CAP]*$D$3+$D$4*Table36[Pump 401 - A/B2]</f>
        <v>179.12408410111718</v>
      </c>
    </row>
    <row r="20" spans="3:11" x14ac:dyDescent="0.25">
      <c r="C20" s="132">
        <v>1</v>
      </c>
      <c r="D20" s="132" t="s">
        <v>122</v>
      </c>
      <c r="E20" s="189">
        <f>INDEX('Material and Cost Analysis'!D13:D27,MATCH(EAOC!D20,'Material and Cost Analysis'!C13:C27,0))</f>
        <v>3.549793647251664</v>
      </c>
      <c r="F20" s="229">
        <f>EAOC!$E20*5</f>
        <v>17.748968236258321</v>
      </c>
      <c r="G20" s="229">
        <f>20*EAOC!$F20</f>
        <v>354.97936472516642</v>
      </c>
      <c r="H20" s="194"/>
      <c r="I20" s="162" t="s">
        <v>122</v>
      </c>
      <c r="J20" s="235">
        <v>297.02</v>
      </c>
      <c r="K20" s="236">
        <f>Table36[CAP]*$D$3+$D$4*Table36[Pump 401 - A/B2]</f>
        <v>179.12408410111718</v>
      </c>
    </row>
    <row r="21" spans="3:11" x14ac:dyDescent="0.25">
      <c r="C21" s="129">
        <v>1</v>
      </c>
      <c r="D21" s="129" t="s">
        <v>123</v>
      </c>
      <c r="E21" s="190">
        <f>INDEX('Material and Cost Analysis'!D14:D28,MATCH(EAOC!D21,'Material and Cost Analysis'!C14:C28,0))</f>
        <v>3.6081815544094051</v>
      </c>
      <c r="F21" s="228">
        <f>EAOC!$E21*5</f>
        <v>18.040907772047024</v>
      </c>
      <c r="G21" s="228">
        <f>20*EAOC!$F21</f>
        <v>360.81815544094047</v>
      </c>
      <c r="H21" s="194"/>
      <c r="I21" s="163" t="s">
        <v>123</v>
      </c>
      <c r="J21" s="235">
        <v>297.07</v>
      </c>
      <c r="K21" s="236">
        <f>Table36[CAP]*$D$3+$D$4*Table36[Pump 401 - A/B2]</f>
        <v>179.12408410111718</v>
      </c>
    </row>
    <row r="22" spans="3:11" x14ac:dyDescent="0.25">
      <c r="C22" s="132">
        <v>1</v>
      </c>
      <c r="D22" s="132" t="s">
        <v>124</v>
      </c>
      <c r="E22" s="189">
        <f>INDEX('Material and Cost Analysis'!D15:D29,MATCH(EAOC!D22,'Material and Cost Analysis'!C15:C29,0))</f>
        <v>3.6199636715692343</v>
      </c>
      <c r="F22" s="229">
        <f>EAOC!$E22*5</f>
        <v>18.099818357846171</v>
      </c>
      <c r="G22" s="229">
        <f>20*EAOC!$F22</f>
        <v>361.99636715692344</v>
      </c>
      <c r="H22" s="194"/>
      <c r="I22" s="162" t="s">
        <v>124</v>
      </c>
      <c r="J22" s="235">
        <v>297.08999999999997</v>
      </c>
      <c r="K22" s="236">
        <f>Table36[CAP]*$D$3+$D$4*Table36[Pump 401 - A/B2]</f>
        <v>179.12408410111718</v>
      </c>
    </row>
    <row r="23" spans="3:11" x14ac:dyDescent="0.25">
      <c r="C23" s="129">
        <v>1</v>
      </c>
      <c r="D23" s="129" t="s">
        <v>125</v>
      </c>
      <c r="E23" s="190">
        <f>INDEX('Material and Cost Analysis'!D16:D30,MATCH(EAOC!D23,'Material and Cost Analysis'!C16:C30,0))</f>
        <v>3.646151943535012</v>
      </c>
      <c r="F23" s="228">
        <f>EAOC!$E23*5</f>
        <v>18.23075971767506</v>
      </c>
      <c r="G23" s="228">
        <f>20*EAOC!$F23</f>
        <v>364.61519435350118</v>
      </c>
      <c r="H23" s="194"/>
      <c r="I23" s="163" t="s">
        <v>125</v>
      </c>
      <c r="J23" s="235">
        <v>297.18</v>
      </c>
      <c r="K23" s="236">
        <f>Table36[CAP]*$D$3+$D$4*Table36[Pump 401 - A/B2]</f>
        <v>179.12408410111718</v>
      </c>
    </row>
    <row r="24" spans="3:11" x14ac:dyDescent="0.25">
      <c r="C24" s="132">
        <v>1</v>
      </c>
      <c r="D24" s="132" t="s">
        <v>126</v>
      </c>
      <c r="E24" s="189">
        <f>INDEX('Material and Cost Analysis'!D17:D31,MATCH(EAOC!D24,'Material and Cost Analysis'!C17:C31,0))</f>
        <v>3.6291007134160354</v>
      </c>
      <c r="F24" s="229">
        <f>EAOC!$E24*5</f>
        <v>18.145503567080176</v>
      </c>
      <c r="G24" s="229">
        <f>20*EAOC!$F24</f>
        <v>362.9100713416035</v>
      </c>
      <c r="H24" s="194"/>
      <c r="I24" s="162" t="s">
        <v>126</v>
      </c>
      <c r="J24" s="235">
        <v>297.12</v>
      </c>
      <c r="K24" s="236">
        <f>Table36[CAP]*$D$3+$D$4*Table36[Pump 401 - A/B2]</f>
        <v>179.12408410111718</v>
      </c>
    </row>
    <row r="25" spans="3:11" x14ac:dyDescent="0.25">
      <c r="C25" s="129">
        <v>1</v>
      </c>
      <c r="D25" s="129" t="s">
        <v>127</v>
      </c>
      <c r="E25" s="190">
        <f>INDEX('Material and Cost Analysis'!D18:D32,MATCH(EAOC!D25,'Material and Cost Analysis'!C18:C32,0))</f>
        <v>3.6781293395240908</v>
      </c>
      <c r="F25" s="228">
        <f>EAOC!$E25*5</f>
        <v>18.390646697620454</v>
      </c>
      <c r="G25" s="228">
        <f>20*EAOC!$F25</f>
        <v>367.81293395240908</v>
      </c>
      <c r="H25" s="194"/>
      <c r="I25" s="163" t="s">
        <v>127</v>
      </c>
      <c r="J25" s="235">
        <v>297.42</v>
      </c>
      <c r="K25" s="236">
        <f>Table36[CAP]*$D$3+$D$4*Table36[Pump 401 - A/B2]</f>
        <v>179.12408410111718</v>
      </c>
    </row>
    <row r="26" spans="3:11" ht="15.75" thickBot="1" x14ac:dyDescent="0.3">
      <c r="C26" s="132">
        <v>1</v>
      </c>
      <c r="D26" s="132" t="s">
        <v>128</v>
      </c>
      <c r="E26" s="189">
        <f>INDEX('Material and Cost Analysis'!D19:D33,MATCH(EAOC!D26,'Material and Cost Analysis'!C19:C33,0))</f>
        <v>3.7283729355226281</v>
      </c>
      <c r="F26" s="229">
        <f>EAOC!$E26*5</f>
        <v>18.641864677613139</v>
      </c>
      <c r="G26" s="229">
        <f>20*EAOC!$F26</f>
        <v>372.83729355226279</v>
      </c>
      <c r="H26" s="194"/>
      <c r="I26" s="238" t="s">
        <v>128</v>
      </c>
      <c r="J26" s="239">
        <v>299.52</v>
      </c>
      <c r="K26" s="110">
        <f>Table36[CAP]*$D$3+$D$4*Table36[Pump 401 - A/B2]</f>
        <v>179.12408410111718</v>
      </c>
    </row>
    <row r="27" spans="3:11" x14ac:dyDescent="0.25">
      <c r="C27" s="187">
        <f>'Material and Cost Analysis'!B20</f>
        <v>2</v>
      </c>
      <c r="D27" s="187" t="str">
        <f>'Material and Cost Analysis'!C20</f>
        <v>Copper</v>
      </c>
      <c r="E27" s="188">
        <f>'Material and Cost Analysis'!D20</f>
        <v>1.689490603918004</v>
      </c>
      <c r="F27" s="230">
        <f>EAOC!$E27*5</f>
        <v>8.4474530195900197</v>
      </c>
      <c r="G27" s="230">
        <f>20*EAOC!$F27</f>
        <v>168.9490603918004</v>
      </c>
      <c r="H27" s="195"/>
    </row>
    <row r="28" spans="3:11" x14ac:dyDescent="0.25">
      <c r="C28" s="132">
        <f>'Material and Cost Analysis'!B21</f>
        <v>2</v>
      </c>
      <c r="D28" s="132" t="str">
        <f>'Material and Cost Analysis'!C21</f>
        <v>Lead</v>
      </c>
      <c r="E28" s="189">
        <f>'Material and Cost Analysis'!D21</f>
        <v>1.689490603918004</v>
      </c>
      <c r="F28" s="229">
        <f>EAOC!$E28*5</f>
        <v>8.4474530195900197</v>
      </c>
      <c r="G28" s="229">
        <f>20*EAOC!$F28</f>
        <v>168.9490603918004</v>
      </c>
      <c r="H28" s="195"/>
    </row>
    <row r="29" spans="3:11" x14ac:dyDescent="0.25">
      <c r="C29" s="129">
        <f>'Material and Cost Analysis'!B22</f>
        <v>2</v>
      </c>
      <c r="D29" s="129" t="str">
        <f>'Material and Cost Analysis'!C22</f>
        <v>Brass</v>
      </c>
      <c r="E29" s="190">
        <f>'Material and Cost Analysis'!D22</f>
        <v>1.689490603918004</v>
      </c>
      <c r="F29" s="228">
        <f>EAOC!$E29*5</f>
        <v>8.4474530195900197</v>
      </c>
      <c r="G29" s="228">
        <f>20*EAOC!$F29</f>
        <v>168.9490603918004</v>
      </c>
      <c r="H29" s="195"/>
    </row>
    <row r="30" spans="3:11" x14ac:dyDescent="0.25">
      <c r="C30" s="132">
        <f>'Material and Cost Analysis'!B23</f>
        <v>2</v>
      </c>
      <c r="D30" s="132" t="str">
        <f>'Material and Cost Analysis'!C23</f>
        <v>Aluminum</v>
      </c>
      <c r="E30" s="189">
        <f>'Material and Cost Analysis'!D23</f>
        <v>1.689490603918004</v>
      </c>
      <c r="F30" s="229">
        <f>EAOC!$E30*5</f>
        <v>8.4474530195900197</v>
      </c>
      <c r="G30" s="229">
        <f>20*EAOC!$F30</f>
        <v>168.9490603918004</v>
      </c>
      <c r="H30" s="195"/>
    </row>
    <row r="31" spans="3:11" x14ac:dyDescent="0.25">
      <c r="C31" s="129">
        <f>'Material and Cost Analysis'!B24</f>
        <v>2</v>
      </c>
      <c r="D31" s="129" t="str">
        <f>'Material and Cost Analysis'!C24</f>
        <v>PVC</v>
      </c>
      <c r="E31" s="190">
        <f>'Material and Cost Analysis'!D24</f>
        <v>1.689490603918004</v>
      </c>
      <c r="F31" s="228">
        <f>EAOC!$E31*5</f>
        <v>8.4474530195900197</v>
      </c>
      <c r="G31" s="228">
        <f>20*EAOC!$F31</f>
        <v>168.9490603918004</v>
      </c>
      <c r="H31" s="195"/>
    </row>
    <row r="32" spans="3:11" x14ac:dyDescent="0.25">
      <c r="C32" s="132">
        <f>'Material and Cost Analysis'!B25</f>
        <v>2</v>
      </c>
      <c r="D32" s="132" t="str">
        <f>'Material and Cost Analysis'!C25</f>
        <v>Stainless steel</v>
      </c>
      <c r="E32" s="189">
        <f>'Material and Cost Analysis'!D25</f>
        <v>1.689490603918004</v>
      </c>
      <c r="F32" s="229">
        <f>EAOC!$E32*5</f>
        <v>8.4474530195900197</v>
      </c>
      <c r="G32" s="229">
        <f>20*EAOC!$F32</f>
        <v>168.9490603918004</v>
      </c>
      <c r="H32" s="195"/>
    </row>
    <row r="33" spans="3:8" x14ac:dyDescent="0.25">
      <c r="C33" s="129">
        <f>'Material and Cost Analysis'!B26</f>
        <v>2</v>
      </c>
      <c r="D33" s="129" t="str">
        <f>'Material and Cost Analysis'!C26</f>
        <v>Commercial Steel</v>
      </c>
      <c r="E33" s="190">
        <f>'Material and Cost Analysis'!D26</f>
        <v>1.5699990290216301</v>
      </c>
      <c r="F33" s="228">
        <f>EAOC!$E33*5</f>
        <v>7.8499951451081511</v>
      </c>
      <c r="G33" s="228">
        <f>20*EAOC!$F33</f>
        <v>156.99990290216303</v>
      </c>
      <c r="H33" s="195"/>
    </row>
    <row r="34" spans="3:8" x14ac:dyDescent="0.25">
      <c r="C34" s="132">
        <f>'Material and Cost Analysis'!B27</f>
        <v>2</v>
      </c>
      <c r="D34" s="132" t="str">
        <f>'Material and Cost Analysis'!C27</f>
        <v>Drawn tubing</v>
      </c>
      <c r="E34" s="189">
        <f>'Material and Cost Analysis'!D27</f>
        <v>1.5641215870306719</v>
      </c>
      <c r="F34" s="229">
        <f>EAOC!$E34*5</f>
        <v>7.8206079351533599</v>
      </c>
      <c r="G34" s="229">
        <f>20*EAOC!$F34</f>
        <v>156.41215870306721</v>
      </c>
      <c r="H34" s="195"/>
    </row>
    <row r="35" spans="3:8" x14ac:dyDescent="0.25">
      <c r="C35" s="129">
        <f>'Material and Cost Analysis'!B28</f>
        <v>2</v>
      </c>
      <c r="D35" s="129" t="str">
        <f>'Material and Cost Analysis'!C28</f>
        <v>Wrought iron</v>
      </c>
      <c r="E35" s="190">
        <f>'Material and Cost Analysis'!D28</f>
        <v>1.5699990732113005</v>
      </c>
      <c r="F35" s="228">
        <f>EAOC!$E35*5</f>
        <v>7.8499953660565023</v>
      </c>
      <c r="G35" s="228">
        <f>20*EAOC!$F35</f>
        <v>156.99990732113005</v>
      </c>
      <c r="H35" s="195"/>
    </row>
    <row r="36" spans="3:8" x14ac:dyDescent="0.25">
      <c r="C36" s="132">
        <f>'Material and Cost Analysis'!B29</f>
        <v>2</v>
      </c>
      <c r="D36" s="132" t="str">
        <f>'Material and Cost Analysis'!C29</f>
        <v>Asphalted cast iron</v>
      </c>
      <c r="E36" s="189">
        <f>'Material and Cost Analysis'!D29</f>
        <v>1.58283956745277</v>
      </c>
      <c r="F36" s="229">
        <f>EAOC!$E36*5</f>
        <v>7.91419783726385</v>
      </c>
      <c r="G36" s="229">
        <f>20*EAOC!$F36</f>
        <v>158.28395674527701</v>
      </c>
      <c r="H36" s="195"/>
    </row>
    <row r="37" spans="3:8" x14ac:dyDescent="0.25">
      <c r="C37" s="129">
        <f>'Material and Cost Analysis'!B30</f>
        <v>2</v>
      </c>
      <c r="D37" s="129" t="str">
        <f>'Material and Cost Analysis'!C30</f>
        <v>Galvanized iron</v>
      </c>
      <c r="E37" s="190">
        <f>'Material and Cost Analysis'!D30</f>
        <v>1.5875071990806722</v>
      </c>
      <c r="F37" s="228">
        <f>EAOC!$E37*5</f>
        <v>7.9375359954033611</v>
      </c>
      <c r="G37" s="228">
        <f>20*EAOC!$F37</f>
        <v>158.75071990806723</v>
      </c>
      <c r="H37" s="195"/>
    </row>
    <row r="38" spans="3:8" x14ac:dyDescent="0.25">
      <c r="C38" s="132">
        <f>'Material and Cost Analysis'!B31</f>
        <v>2</v>
      </c>
      <c r="D38" s="132" t="str">
        <f>'Material and Cost Analysis'!C31</f>
        <v>Cast iron</v>
      </c>
      <c r="E38" s="189">
        <f>'Material and Cost Analysis'!D31</f>
        <v>1.6024536048361708</v>
      </c>
      <c r="F38" s="229">
        <f>EAOC!$E38*5</f>
        <v>8.0122680241808535</v>
      </c>
      <c r="G38" s="229">
        <f>20*EAOC!$F38</f>
        <v>160.24536048361708</v>
      </c>
      <c r="H38" s="195"/>
    </row>
    <row r="39" spans="3:8" x14ac:dyDescent="0.25">
      <c r="C39" s="129">
        <f>'Material and Cost Analysis'!B32</f>
        <v>2</v>
      </c>
      <c r="D39" s="129" t="str">
        <f>'Material and Cost Analysis'!C32</f>
        <v>Wood stove</v>
      </c>
      <c r="E39" s="190">
        <f>'Material and Cost Analysis'!D32</f>
        <v>1.5918970924733347</v>
      </c>
      <c r="F39" s="228">
        <f>EAOC!$E39*5</f>
        <v>7.9594854623666738</v>
      </c>
      <c r="G39" s="228">
        <f>20*EAOC!$F39</f>
        <v>159.18970924733347</v>
      </c>
      <c r="H39" s="195"/>
    </row>
    <row r="40" spans="3:8" x14ac:dyDescent="0.25">
      <c r="C40" s="132">
        <f>'Material and Cost Analysis'!B33</f>
        <v>2</v>
      </c>
      <c r="D40" s="132" t="str">
        <f>'Material and Cost Analysis'!C33</f>
        <v>Concrete</v>
      </c>
      <c r="E40" s="189">
        <f>'Material and Cost Analysis'!D33</f>
        <v>1.6357532672738533</v>
      </c>
      <c r="F40" s="229">
        <f>EAOC!$E40*5</f>
        <v>8.1787663363692662</v>
      </c>
      <c r="G40" s="229">
        <f>20*EAOC!$F40</f>
        <v>163.57532672738532</v>
      </c>
      <c r="H40" s="195"/>
    </row>
    <row r="41" spans="3:8" ht="15.75" thickBot="1" x14ac:dyDescent="0.3">
      <c r="C41" s="129">
        <f>'Material and Cost Analysis'!B34</f>
        <v>2</v>
      </c>
      <c r="D41" s="129" t="str">
        <f>'Material and Cost Analysis'!C34</f>
        <v>Riveted Steel</v>
      </c>
      <c r="E41" s="190">
        <f>'Material and Cost Analysis'!D34</f>
        <v>1.8766392728816901</v>
      </c>
      <c r="F41" s="228">
        <f>EAOC!$E41*5</f>
        <v>9.38319636440845</v>
      </c>
      <c r="G41" s="228">
        <f>20*EAOC!$F41</f>
        <v>187.66392728816899</v>
      </c>
      <c r="H41" s="195"/>
    </row>
    <row r="42" spans="3:8" x14ac:dyDescent="0.25">
      <c r="C42" s="126">
        <f>'Material and Cost Analysis'!B35</f>
        <v>3</v>
      </c>
      <c r="D42" s="126" t="str">
        <f>'Material and Cost Analysis'!C35</f>
        <v>Copper</v>
      </c>
      <c r="E42" s="191">
        <f>'Material and Cost Analysis'!D35</f>
        <v>1.4781522099590889</v>
      </c>
      <c r="F42" s="227">
        <f>EAOC!$E42*5</f>
        <v>7.3907610497954446</v>
      </c>
      <c r="G42" s="227">
        <f>20*EAOC!$F42</f>
        <v>147.8152209959089</v>
      </c>
      <c r="H42" s="195"/>
    </row>
    <row r="43" spans="3:8" x14ac:dyDescent="0.25">
      <c r="C43" s="129">
        <f>'Material and Cost Analysis'!B36</f>
        <v>3</v>
      </c>
      <c r="D43" s="129" t="str">
        <f>'Material and Cost Analysis'!C36</f>
        <v>Lead</v>
      </c>
      <c r="E43" s="190">
        <f>'Material and Cost Analysis'!D36</f>
        <v>1.4781522099590889</v>
      </c>
      <c r="F43" s="228">
        <f>EAOC!$E43*5</f>
        <v>7.3907610497954446</v>
      </c>
      <c r="G43" s="228">
        <f>20*EAOC!$F43</f>
        <v>147.8152209959089</v>
      </c>
      <c r="H43" s="195"/>
    </row>
    <row r="44" spans="3:8" x14ac:dyDescent="0.25">
      <c r="C44" s="132">
        <f>'Material and Cost Analysis'!B37</f>
        <v>3</v>
      </c>
      <c r="D44" s="132" t="str">
        <f>'Material and Cost Analysis'!C37</f>
        <v>Brass</v>
      </c>
      <c r="E44" s="189">
        <f>'Material and Cost Analysis'!D37</f>
        <v>1.4781522099590889</v>
      </c>
      <c r="F44" s="229">
        <f>EAOC!$E44*5</f>
        <v>7.3907610497954446</v>
      </c>
      <c r="G44" s="229">
        <f>20*EAOC!$F44</f>
        <v>147.8152209959089</v>
      </c>
      <c r="H44" s="195"/>
    </row>
    <row r="45" spans="3:8" x14ac:dyDescent="0.25">
      <c r="C45" s="129">
        <f>'Material and Cost Analysis'!B38</f>
        <v>3</v>
      </c>
      <c r="D45" s="129" t="str">
        <f>'Material and Cost Analysis'!C38</f>
        <v>Aluminum</v>
      </c>
      <c r="E45" s="190">
        <f>'Material and Cost Analysis'!D38</f>
        <v>1.4781522099590889</v>
      </c>
      <c r="F45" s="228">
        <f>EAOC!$E45*5</f>
        <v>7.3907610497954446</v>
      </c>
      <c r="G45" s="228">
        <f>20*EAOC!$F45</f>
        <v>147.8152209959089</v>
      </c>
      <c r="H45" s="195"/>
    </row>
    <row r="46" spans="3:8" x14ac:dyDescent="0.25">
      <c r="C46" s="132">
        <f>'Material and Cost Analysis'!B39</f>
        <v>3</v>
      </c>
      <c r="D46" s="132" t="str">
        <f>'Material and Cost Analysis'!C39</f>
        <v>PVC</v>
      </c>
      <c r="E46" s="189">
        <f>'Material and Cost Analysis'!D39</f>
        <v>1.4781522099590889</v>
      </c>
      <c r="F46" s="229">
        <f>EAOC!$E46*5</f>
        <v>7.3907610497954446</v>
      </c>
      <c r="G46" s="229">
        <f>20*EAOC!$F46</f>
        <v>147.8152209959089</v>
      </c>
      <c r="H46" s="195"/>
    </row>
    <row r="47" spans="3:8" x14ac:dyDescent="0.25">
      <c r="C47" s="129">
        <f>'Material and Cost Analysis'!B40</f>
        <v>3</v>
      </c>
      <c r="D47" s="129" t="str">
        <f>'Material and Cost Analysis'!C40</f>
        <v>Stainless steel</v>
      </c>
      <c r="E47" s="190">
        <f>'Material and Cost Analysis'!D40</f>
        <v>1.4781522099590889</v>
      </c>
      <c r="F47" s="228">
        <f>EAOC!$E47*5</f>
        <v>7.3907610497954446</v>
      </c>
      <c r="G47" s="228">
        <f>20*EAOC!$F47</f>
        <v>147.8152209959089</v>
      </c>
      <c r="H47" s="195"/>
    </row>
    <row r="48" spans="3:8" x14ac:dyDescent="0.25">
      <c r="C48" s="132">
        <f>'Material and Cost Analysis'!B41</f>
        <v>3</v>
      </c>
      <c r="D48" s="132" t="str">
        <f>'Material and Cost Analysis'!C41</f>
        <v>Commercial Steel</v>
      </c>
      <c r="E48" s="189">
        <f>'Material and Cost Analysis'!D41</f>
        <v>1.3415135432370975</v>
      </c>
      <c r="F48" s="229">
        <f>EAOC!$E48*5</f>
        <v>6.707567716185487</v>
      </c>
      <c r="G48" s="229">
        <f>20*EAOC!$F48</f>
        <v>134.15135432370974</v>
      </c>
      <c r="H48" s="195"/>
    </row>
    <row r="49" spans="3:8" x14ac:dyDescent="0.25">
      <c r="C49" s="129">
        <f>'Material and Cost Analysis'!B42</f>
        <v>3</v>
      </c>
      <c r="D49" s="129" t="str">
        <f>'Material and Cost Analysis'!C42</f>
        <v>Drawn tubing</v>
      </c>
      <c r="E49" s="190">
        <f>'Material and Cost Analysis'!D42</f>
        <v>1.3306091058978273</v>
      </c>
      <c r="F49" s="228">
        <f>EAOC!$E49*5</f>
        <v>6.6530455294891366</v>
      </c>
      <c r="G49" s="228">
        <f>20*EAOC!$F49</f>
        <v>133.06091058978274</v>
      </c>
      <c r="H49" s="195"/>
    </row>
    <row r="50" spans="3:8" x14ac:dyDescent="0.25">
      <c r="C50" s="132">
        <f>'Material and Cost Analysis'!B43</f>
        <v>3</v>
      </c>
      <c r="D50" s="132" t="str">
        <f>'Material and Cost Analysis'!C43</f>
        <v>Wrought iron</v>
      </c>
      <c r="E50" s="189">
        <f>'Material and Cost Analysis'!D43</f>
        <v>1.3415135161608609</v>
      </c>
      <c r="F50" s="229">
        <f>EAOC!$E50*5</f>
        <v>6.7075675808043043</v>
      </c>
      <c r="G50" s="229">
        <f>20*EAOC!$F50</f>
        <v>134.15135161608609</v>
      </c>
      <c r="H50" s="195"/>
    </row>
    <row r="51" spans="3:8" x14ac:dyDescent="0.25">
      <c r="C51" s="129">
        <f>'Material and Cost Analysis'!B44</f>
        <v>3</v>
      </c>
      <c r="D51" s="129" t="str">
        <f>'Material and Cost Analysis'!C44</f>
        <v>Asphalted cast iron</v>
      </c>
      <c r="E51" s="190">
        <f>'Material and Cost Analysis'!D44</f>
        <v>1.3613292842508971</v>
      </c>
      <c r="F51" s="228">
        <f>EAOC!$E51*5</f>
        <v>6.8066464212544853</v>
      </c>
      <c r="G51" s="228">
        <f>20*EAOC!$F51</f>
        <v>136.13292842508972</v>
      </c>
      <c r="H51" s="195"/>
    </row>
    <row r="52" spans="3:8" x14ac:dyDescent="0.25">
      <c r="C52" s="132">
        <f>'Material and Cost Analysis'!B45</f>
        <v>3</v>
      </c>
      <c r="D52" s="132" t="str">
        <f>'Material and Cost Analysis'!C45</f>
        <v>Galvanized iron</v>
      </c>
      <c r="E52" s="189">
        <f>'Material and Cost Analysis'!D45</f>
        <v>1.3677931881545196</v>
      </c>
      <c r="F52" s="229">
        <f>EAOC!$E52*5</f>
        <v>6.8389659407725976</v>
      </c>
      <c r="G52" s="229">
        <f>20*EAOC!$F52</f>
        <v>136.77931881545194</v>
      </c>
      <c r="H52" s="195"/>
    </row>
    <row r="53" spans="3:8" x14ac:dyDescent="0.25">
      <c r="C53" s="129">
        <f>'Material and Cost Analysis'!B46</f>
        <v>3</v>
      </c>
      <c r="D53" s="129" t="str">
        <f>'Material and Cost Analysis'!C46</f>
        <v>Cast iron</v>
      </c>
      <c r="E53" s="190">
        <f>'Material and Cost Analysis'!D46</f>
        <v>1.3870002737422795</v>
      </c>
      <c r="F53" s="228">
        <f>EAOC!$E53*5</f>
        <v>6.9350013687113972</v>
      </c>
      <c r="G53" s="228">
        <f>20*EAOC!$F53</f>
        <v>138.70002737422794</v>
      </c>
      <c r="H53" s="195"/>
    </row>
    <row r="54" spans="3:8" x14ac:dyDescent="0.25">
      <c r="C54" s="132">
        <f>'Material and Cost Analysis'!B47</f>
        <v>3</v>
      </c>
      <c r="D54" s="132" t="str">
        <f>'Material and Cost Analysis'!C47</f>
        <v>Wood stove</v>
      </c>
      <c r="E54" s="189">
        <f>'Material and Cost Analysis'!D47</f>
        <v>1.3736397635573543</v>
      </c>
      <c r="F54" s="229">
        <f>EAOC!$E54*5</f>
        <v>6.8681988177867712</v>
      </c>
      <c r="G54" s="229">
        <f>20*EAOC!$F54</f>
        <v>137.36397635573542</v>
      </c>
      <c r="H54" s="195"/>
    </row>
    <row r="55" spans="3:8" x14ac:dyDescent="0.25">
      <c r="C55" s="129">
        <f>'Material and Cost Analysis'!B48</f>
        <v>3</v>
      </c>
      <c r="D55" s="129" t="str">
        <f>'Material and Cost Analysis'!C48</f>
        <v>Concrete</v>
      </c>
      <c r="E55" s="190">
        <f>'Material and Cost Analysis'!D48</f>
        <v>1.4250692940796079</v>
      </c>
      <c r="F55" s="228">
        <f>EAOC!$E55*5</f>
        <v>7.1253464703980391</v>
      </c>
      <c r="G55" s="228">
        <f>20*EAOC!$F55</f>
        <v>142.5069294079608</v>
      </c>
      <c r="H55" s="195"/>
    </row>
    <row r="56" spans="3:8" x14ac:dyDescent="0.25">
      <c r="C56" s="192">
        <f>'Material and Cost Analysis'!B49</f>
        <v>3</v>
      </c>
      <c r="D56" s="192" t="str">
        <f>'Material and Cost Analysis'!C49</f>
        <v>Riveted Steel</v>
      </c>
      <c r="E56" s="193">
        <f>'Material and Cost Analysis'!D49</f>
        <v>1.561830485812653</v>
      </c>
      <c r="F56" s="231">
        <f>EAOC!$E56*5</f>
        <v>7.809152429063265</v>
      </c>
      <c r="G56" s="231">
        <f>20*EAOC!$F56</f>
        <v>156.1830485812653</v>
      </c>
      <c r="H56" s="195"/>
    </row>
    <row r="57" spans="3:8" x14ac:dyDescent="0.25">
      <c r="H57" s="14"/>
    </row>
    <row r="58" spans="3:8" x14ac:dyDescent="0.25">
      <c r="H58" s="14"/>
    </row>
    <row r="59" spans="3:8" x14ac:dyDescent="0.25">
      <c r="H59" s="14"/>
    </row>
    <row r="60" spans="3:8" x14ac:dyDescent="0.25">
      <c r="H60" s="14"/>
    </row>
  </sheetData>
  <mergeCells count="1">
    <mergeCell ref="C6:D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Pump_Cost">
          <controlPr autoLine="0" r:id="rId4">
            <anchor moveWithCells="1">
              <from>
                <xdr:col>9</xdr:col>
                <xdr:colOff>0</xdr:colOff>
                <xdr:row>10</xdr:row>
                <xdr:rowOff>0</xdr:rowOff>
              </from>
              <to>
                <xdr:col>10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7409" r:id="rId3" name="Pump_Cost"/>
      </mc:Fallback>
    </mc:AlternateContent>
  </controls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Instructions</vt:lpstr>
      <vt:lpstr>Data</vt:lpstr>
      <vt:lpstr>Segment 1</vt:lpstr>
      <vt:lpstr>Segment 1 Plots and Solutions</vt:lpstr>
      <vt:lpstr>Material and Cost Analysis</vt:lpstr>
      <vt:lpstr>P 401 A-B Sizing</vt:lpstr>
      <vt:lpstr>EAOC</vt:lpstr>
      <vt:lpstr>Elbow45</vt:lpstr>
      <vt:lpstr>Fitting</vt:lpstr>
      <vt:lpstr>Fittings</vt:lpstr>
      <vt:lpstr>Material</vt:lpstr>
      <vt:lpstr>Type_AngleValve</vt:lpstr>
      <vt:lpstr>Type_ButterflyValve</vt:lpstr>
      <vt:lpstr>Type_CheckValve</vt:lpstr>
      <vt:lpstr>Type_DiaphragmValve</vt:lpstr>
      <vt:lpstr>Type_Gate</vt:lpstr>
      <vt:lpstr>Type_GloveValve</vt:lpstr>
      <vt:lpstr>Type_PlugCock</vt:lpstr>
      <vt:lpstr>Type_PlugDisk</vt:lpstr>
      <vt:lpstr>Type_Tee</vt:lpstr>
      <vt:lpstr>Type_WaterMeter</vt:lpstr>
      <vt:lpstr>Type_YValve</vt:lpstr>
      <vt:lpstr>Types_45</vt:lpstr>
      <vt:lpstr>Types_90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custom_default</dc:creator>
  <cp:lastModifiedBy>Abraham Mena</cp:lastModifiedBy>
  <dcterms:created xsi:type="dcterms:W3CDTF">2017-07-07T16:55:59Z</dcterms:created>
  <dcterms:modified xsi:type="dcterms:W3CDTF">2017-09-17T21:06:50Z</dcterms:modified>
</cp:coreProperties>
</file>